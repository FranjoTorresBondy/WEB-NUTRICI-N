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D:\Documents\PACIENTES\STEPHAN BREADT\"/>
    </mc:Choice>
  </mc:AlternateContent>
  <xr:revisionPtr revIDLastSave="0" documentId="13_ncr:1_{969FE72E-2CE3-41C3-8E42-F342EDD3053C}" xr6:coauthVersionLast="47" xr6:coauthVersionMax="47" xr10:uidLastSave="{00000000-0000-0000-0000-000000000000}"/>
  <bookViews>
    <workbookView xWindow="-108" yWindow="-108" windowWidth="23256" windowHeight="12456" tabRatio="737" firstSheet="1" activeTab="4" xr2:uid="{00000000-000D-0000-FFFF-FFFF00000000}"/>
  </bookViews>
  <sheets>
    <sheet name="Info" sheetId="65" r:id="rId1"/>
    <sheet name="TEM info" sheetId="66" r:id="rId2"/>
    <sheet name="1" sheetId="85" r:id="rId3"/>
    <sheet name="2" sheetId="87" r:id="rId4"/>
    <sheet name="3" sheetId="86" r:id="rId5"/>
    <sheet name="4" sheetId="84" r:id="rId6"/>
    <sheet name="5" sheetId="82" r:id="rId7"/>
    <sheet name="6" sheetId="79" r:id="rId8"/>
    <sheet name="7" sheetId="83" r:id="rId9"/>
    <sheet name="7." sheetId="81" r:id="rId10"/>
    <sheet name="8." sheetId="80" r:id="rId11"/>
    <sheet name="9." sheetId="78" r:id="rId12"/>
    <sheet name="10." sheetId="77" r:id="rId13"/>
    <sheet name="11." sheetId="75" r:id="rId14"/>
    <sheet name="12." sheetId="76" r:id="rId15"/>
    <sheet name="13." sheetId="74" r:id="rId16"/>
    <sheet name="14." sheetId="73" r:id="rId17"/>
    <sheet name="15." sheetId="72" r:id="rId18"/>
    <sheet name="16." sheetId="71" r:id="rId19"/>
    <sheet name="17." sheetId="68" r:id="rId20"/>
    <sheet name="18." sheetId="70" r:id="rId21"/>
    <sheet name="19." sheetId="69" r:id="rId22"/>
    <sheet name="20." sheetId="21" r:id="rId23"/>
    <sheet name="Measures-Medidas" sheetId="16" r:id="rId24"/>
    <sheet name="sum(meas)-suma(med)" sheetId="17" state="hidden" r:id="rId25"/>
    <sheet name="sqr(sum)-cuadrado(sum)" sheetId="19" state="hidden" r:id="rId26"/>
    <sheet name="sqr(meas)-cuadrado(med)" sheetId="18" state="hidden" r:id="rId27"/>
    <sheet name="TEM-ICC-ETM-ICC" sheetId="20" state="hidden" r:id="rId28"/>
    <sheet name="Graph-Gráficos" sheetId="44" r:id="rId29"/>
    <sheet name="Analysis-Analisis" sheetId="67" r:id="rId30"/>
  </sheets>
  <definedNames>
    <definedName name="_xlnm.Print_Area" localSheetId="2">'1'!$Q$2:$AA$60</definedName>
    <definedName name="_xlnm.Print_Area" localSheetId="12">'10.'!$Q$2:$AA$60</definedName>
    <definedName name="_xlnm.Print_Area" localSheetId="13">'11.'!$Q$2:$AA$60</definedName>
    <definedName name="_xlnm.Print_Area" localSheetId="14">'12.'!$Q$2:$AA$60</definedName>
    <definedName name="_xlnm.Print_Area" localSheetId="15">'13.'!$Q$2:$AA$60</definedName>
    <definedName name="_xlnm.Print_Area" localSheetId="16">'14.'!$Q$2:$AA$60</definedName>
    <definedName name="_xlnm.Print_Area" localSheetId="17">'15.'!$Q$2:$AA$60</definedName>
    <definedName name="_xlnm.Print_Area" localSheetId="18">'16.'!$Q$2:$AA$60</definedName>
    <definedName name="_xlnm.Print_Area" localSheetId="19">'17.'!$Q$2:$AA$60</definedName>
    <definedName name="_xlnm.Print_Area" localSheetId="20">'18.'!$Q$2:$AA$60</definedName>
    <definedName name="_xlnm.Print_Area" localSheetId="21">'19.'!$Q$2:$AA$60</definedName>
    <definedName name="_xlnm.Print_Area" localSheetId="3">'2'!$Q$2:$AA$60</definedName>
    <definedName name="_xlnm.Print_Area" localSheetId="22">'20.'!$Q$2:$AA$60</definedName>
    <definedName name="_xlnm.Print_Area" localSheetId="4">'3'!$Q$2:$AA$60</definedName>
    <definedName name="_xlnm.Print_Area" localSheetId="5">'4'!$Q$2:$AA$60</definedName>
    <definedName name="_xlnm.Print_Area" localSheetId="6">'5'!$Q$2:$AA$60</definedName>
    <definedName name="_xlnm.Print_Area" localSheetId="7">'6'!$Q$2:$AA$60</definedName>
    <definedName name="_xlnm.Print_Area" localSheetId="8">'7'!$Q$2:$AA$60</definedName>
    <definedName name="_xlnm.Print_Area" localSheetId="9">'7.'!$Q$2:$AA$60</definedName>
    <definedName name="_xlnm.Print_Area" localSheetId="10">'8.'!$Q$2:$AA$60</definedName>
    <definedName name="_xlnm.Print_Area" localSheetId="11">'9.'!$Q$2:$AA$60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7" i="87" l="1"/>
  <c r="H87" i="87"/>
  <c r="G87" i="87"/>
  <c r="J87" i="87" s="1"/>
  <c r="I86" i="87"/>
  <c r="H86" i="87"/>
  <c r="G86" i="87"/>
  <c r="I85" i="87"/>
  <c r="H85" i="87"/>
  <c r="G85" i="87"/>
  <c r="J85" i="87" s="1"/>
  <c r="I84" i="87"/>
  <c r="H84" i="87"/>
  <c r="L84" i="87" s="1"/>
  <c r="G84" i="87"/>
  <c r="I83" i="87"/>
  <c r="H83" i="87"/>
  <c r="G83" i="87"/>
  <c r="I82" i="87"/>
  <c r="H82" i="87"/>
  <c r="L82" i="87" s="1"/>
  <c r="G82" i="87"/>
  <c r="I81" i="87"/>
  <c r="H81" i="87"/>
  <c r="G81" i="87"/>
  <c r="I80" i="87"/>
  <c r="H80" i="87"/>
  <c r="G80" i="87"/>
  <c r="I79" i="87"/>
  <c r="H79" i="87"/>
  <c r="G79" i="87"/>
  <c r="I78" i="87"/>
  <c r="H78" i="87"/>
  <c r="G78" i="87"/>
  <c r="I77" i="87"/>
  <c r="H77" i="87"/>
  <c r="G77" i="87"/>
  <c r="J77" i="87" s="1"/>
  <c r="I76" i="87"/>
  <c r="H76" i="87"/>
  <c r="G76" i="87"/>
  <c r="I75" i="87"/>
  <c r="L75" i="87" s="1"/>
  <c r="H75" i="87"/>
  <c r="G75" i="87"/>
  <c r="I74" i="87"/>
  <c r="H74" i="87"/>
  <c r="G74" i="87"/>
  <c r="I73" i="87"/>
  <c r="H73" i="87"/>
  <c r="G73" i="87"/>
  <c r="I72" i="87"/>
  <c r="H72" i="87"/>
  <c r="G72" i="87"/>
  <c r="I71" i="87"/>
  <c r="H71" i="87"/>
  <c r="G71" i="87"/>
  <c r="J71" i="87" s="1"/>
  <c r="I70" i="87"/>
  <c r="H70" i="87"/>
  <c r="G70" i="87"/>
  <c r="I69" i="87"/>
  <c r="H69" i="87"/>
  <c r="G69" i="87"/>
  <c r="I68" i="87"/>
  <c r="H68" i="87"/>
  <c r="L68" i="87" s="1"/>
  <c r="G68" i="87"/>
  <c r="I67" i="87"/>
  <c r="H67" i="87"/>
  <c r="G67" i="87"/>
  <c r="J63" i="87"/>
  <c r="I63" i="87"/>
  <c r="G63" i="87"/>
  <c r="F63" i="87"/>
  <c r="E63" i="87"/>
  <c r="D63" i="87"/>
  <c r="J62" i="87"/>
  <c r="I62" i="87"/>
  <c r="G62" i="87"/>
  <c r="F62" i="87"/>
  <c r="E62" i="87"/>
  <c r="D62" i="87"/>
  <c r="J61" i="87"/>
  <c r="I61" i="87"/>
  <c r="G61" i="87"/>
  <c r="F61" i="87"/>
  <c r="E61" i="87"/>
  <c r="D61" i="87"/>
  <c r="J59" i="87"/>
  <c r="I59" i="87"/>
  <c r="G59" i="87"/>
  <c r="F59" i="87"/>
  <c r="E59" i="87"/>
  <c r="D59" i="87"/>
  <c r="J57" i="87"/>
  <c r="I57" i="87"/>
  <c r="G57" i="87"/>
  <c r="F57" i="87"/>
  <c r="E57" i="87"/>
  <c r="D57" i="87"/>
  <c r="V56" i="87"/>
  <c r="J56" i="87"/>
  <c r="I56" i="87"/>
  <c r="G56" i="87"/>
  <c r="F56" i="87"/>
  <c r="E56" i="87"/>
  <c r="D56" i="87"/>
  <c r="V55" i="87"/>
  <c r="J55" i="87"/>
  <c r="I55" i="87"/>
  <c r="G55" i="87"/>
  <c r="F55" i="87"/>
  <c r="E55" i="87"/>
  <c r="D55" i="87"/>
  <c r="V54" i="87"/>
  <c r="J54" i="87"/>
  <c r="I54" i="87"/>
  <c r="G54" i="87"/>
  <c r="F54" i="87"/>
  <c r="E54" i="87"/>
  <c r="D54" i="87"/>
  <c r="J52" i="87"/>
  <c r="I52" i="87"/>
  <c r="G52" i="87"/>
  <c r="F52" i="87"/>
  <c r="E52" i="87"/>
  <c r="D52" i="87"/>
  <c r="V51" i="87"/>
  <c r="J51" i="87"/>
  <c r="I51" i="87"/>
  <c r="G51" i="87"/>
  <c r="F51" i="87"/>
  <c r="E51" i="87"/>
  <c r="D51" i="87"/>
  <c r="J50" i="87"/>
  <c r="I50" i="87"/>
  <c r="G50" i="87"/>
  <c r="F50" i="87"/>
  <c r="E50" i="87"/>
  <c r="D50" i="87"/>
  <c r="V49" i="87"/>
  <c r="J49" i="87"/>
  <c r="I49" i="87"/>
  <c r="G49" i="87"/>
  <c r="F49" i="87"/>
  <c r="E49" i="87"/>
  <c r="D49" i="87"/>
  <c r="V48" i="87"/>
  <c r="J48" i="87"/>
  <c r="I48" i="87"/>
  <c r="G48" i="87"/>
  <c r="F48" i="87"/>
  <c r="E48" i="87"/>
  <c r="D48" i="87"/>
  <c r="J47" i="87"/>
  <c r="I47" i="87"/>
  <c r="G47" i="87"/>
  <c r="F47" i="87"/>
  <c r="E47" i="87"/>
  <c r="D47" i="87"/>
  <c r="J46" i="87"/>
  <c r="I46" i="87"/>
  <c r="G46" i="87"/>
  <c r="F46" i="87"/>
  <c r="E46" i="87"/>
  <c r="D46" i="87"/>
  <c r="J45" i="87"/>
  <c r="I45" i="87"/>
  <c r="G45" i="87"/>
  <c r="F45" i="87"/>
  <c r="E45" i="87"/>
  <c r="D45" i="87"/>
  <c r="V44" i="87"/>
  <c r="J44" i="87"/>
  <c r="I44" i="87"/>
  <c r="G44" i="87"/>
  <c r="F44" i="87"/>
  <c r="E44" i="87"/>
  <c r="D44" i="87"/>
  <c r="J43" i="87"/>
  <c r="I43" i="87"/>
  <c r="G43" i="87"/>
  <c r="F43" i="87"/>
  <c r="E43" i="87"/>
  <c r="D43" i="87"/>
  <c r="J42" i="87"/>
  <c r="I42" i="87"/>
  <c r="G42" i="87"/>
  <c r="F42" i="87"/>
  <c r="E42" i="87"/>
  <c r="D42" i="87"/>
  <c r="S41" i="87"/>
  <c r="J41" i="87"/>
  <c r="I41" i="87"/>
  <c r="G41" i="87"/>
  <c r="F41" i="87"/>
  <c r="E41" i="87"/>
  <c r="D41" i="87"/>
  <c r="J40" i="87"/>
  <c r="I40" i="87"/>
  <c r="G40" i="87"/>
  <c r="F40" i="87"/>
  <c r="E40" i="87"/>
  <c r="D40" i="87"/>
  <c r="J39" i="87"/>
  <c r="N36" i="87"/>
  <c r="U36" i="87" s="1"/>
  <c r="K36" i="87"/>
  <c r="L36" i="87" s="1"/>
  <c r="H63" i="87" s="1"/>
  <c r="N35" i="87"/>
  <c r="U35" i="87" s="1"/>
  <c r="K35" i="87"/>
  <c r="L35" i="87" s="1"/>
  <c r="H62" i="87" s="1"/>
  <c r="N34" i="87"/>
  <c r="U34" i="87" s="1"/>
  <c r="K34" i="87"/>
  <c r="L34" i="87" s="1"/>
  <c r="H61" i="87" s="1"/>
  <c r="N32" i="87"/>
  <c r="U32" i="87" s="1"/>
  <c r="K32" i="87"/>
  <c r="L32" i="87" s="1"/>
  <c r="H59" i="87" s="1"/>
  <c r="N30" i="87"/>
  <c r="U30" i="87" s="1"/>
  <c r="K30" i="87"/>
  <c r="L30" i="87" s="1"/>
  <c r="H57" i="87" s="1"/>
  <c r="N29" i="87"/>
  <c r="U29" i="87" s="1"/>
  <c r="K29" i="87"/>
  <c r="L29" i="87" s="1"/>
  <c r="H56" i="87" s="1"/>
  <c r="N28" i="87"/>
  <c r="U28" i="87" s="1"/>
  <c r="K28" i="87"/>
  <c r="L28" i="87" s="1"/>
  <c r="H55" i="87" s="1"/>
  <c r="N27" i="87"/>
  <c r="U27" i="87" s="1"/>
  <c r="K27" i="87"/>
  <c r="L27" i="87" s="1"/>
  <c r="H54" i="87" s="1"/>
  <c r="N25" i="87"/>
  <c r="U25" i="87" s="1"/>
  <c r="K25" i="87"/>
  <c r="L25" i="87" s="1"/>
  <c r="H52" i="87" s="1"/>
  <c r="N24" i="87"/>
  <c r="U24" i="87" s="1"/>
  <c r="K24" i="87"/>
  <c r="L24" i="87" s="1"/>
  <c r="H51" i="87" s="1"/>
  <c r="N23" i="87"/>
  <c r="U23" i="87" s="1"/>
  <c r="K23" i="87"/>
  <c r="L23" i="87" s="1"/>
  <c r="H50" i="87" s="1"/>
  <c r="N22" i="87"/>
  <c r="U22" i="87" s="1"/>
  <c r="K22" i="87"/>
  <c r="L22" i="87" s="1"/>
  <c r="H49" i="87" s="1"/>
  <c r="N21" i="87"/>
  <c r="U21" i="87" s="1"/>
  <c r="K21" i="87"/>
  <c r="L21" i="87" s="1"/>
  <c r="H48" i="87" s="1"/>
  <c r="N20" i="87"/>
  <c r="U20" i="87" s="1"/>
  <c r="K20" i="87"/>
  <c r="L20" i="87" s="1"/>
  <c r="H47" i="87" s="1"/>
  <c r="N19" i="87"/>
  <c r="U19" i="87" s="1"/>
  <c r="K19" i="87"/>
  <c r="L19" i="87" s="1"/>
  <c r="H46" i="87" s="1"/>
  <c r="N18" i="87"/>
  <c r="U18" i="87" s="1"/>
  <c r="K18" i="87"/>
  <c r="L18" i="87" s="1"/>
  <c r="H45" i="87" s="1"/>
  <c r="N17" i="87"/>
  <c r="U17" i="87" s="1"/>
  <c r="K17" i="87"/>
  <c r="L17" i="87" s="1"/>
  <c r="H44" i="87" s="1"/>
  <c r="N16" i="87"/>
  <c r="U16" i="87" s="1"/>
  <c r="K16" i="87"/>
  <c r="L16" i="87" s="1"/>
  <c r="H43" i="87" s="1"/>
  <c r="N15" i="87"/>
  <c r="U15" i="87" s="1"/>
  <c r="K15" i="87"/>
  <c r="L15" i="87" s="1"/>
  <c r="H42" i="87" s="1"/>
  <c r="N14" i="87"/>
  <c r="U14" i="87" s="1"/>
  <c r="K14" i="87"/>
  <c r="L14" i="87" s="1"/>
  <c r="H41" i="87" s="1"/>
  <c r="N13" i="87"/>
  <c r="U13" i="87" s="1"/>
  <c r="K13" i="87"/>
  <c r="L13" i="87" s="1"/>
  <c r="H40" i="87" s="1"/>
  <c r="U11" i="87"/>
  <c r="U10" i="87"/>
  <c r="U9" i="87"/>
  <c r="U8" i="87"/>
  <c r="U7" i="87"/>
  <c r="U6" i="87"/>
  <c r="U5" i="87"/>
  <c r="U4" i="87"/>
  <c r="L69" i="87" l="1"/>
  <c r="L77" i="87"/>
  <c r="L72" i="87"/>
  <c r="J75" i="87"/>
  <c r="J83" i="87"/>
  <c r="L67" i="87"/>
  <c r="J78" i="87"/>
  <c r="L83" i="87"/>
  <c r="J86" i="87"/>
  <c r="N86" i="87" s="1"/>
  <c r="L70" i="87"/>
  <c r="L78" i="87"/>
  <c r="J81" i="87"/>
  <c r="K68" i="87"/>
  <c r="L73" i="87"/>
  <c r="J76" i="87"/>
  <c r="L81" i="87"/>
  <c r="L71" i="87"/>
  <c r="L79" i="87"/>
  <c r="J82" i="87"/>
  <c r="L87" i="87"/>
  <c r="K70" i="87"/>
  <c r="K86" i="87"/>
  <c r="K85" i="87"/>
  <c r="K69" i="87"/>
  <c r="J70" i="87"/>
  <c r="N70" i="87" s="1"/>
  <c r="J69" i="87"/>
  <c r="J68" i="87"/>
  <c r="N68" i="87" s="1"/>
  <c r="J67" i="87"/>
  <c r="K74" i="87"/>
  <c r="J73" i="87"/>
  <c r="K80" i="87"/>
  <c r="J72" i="87"/>
  <c r="J74" i="87"/>
  <c r="L76" i="87"/>
  <c r="J79" i="87"/>
  <c r="L80" i="87"/>
  <c r="K81" i="87"/>
  <c r="K82" i="87"/>
  <c r="M82" i="87" s="1"/>
  <c r="K84" i="87"/>
  <c r="L85" i="87"/>
  <c r="N85" i="87" s="1"/>
  <c r="L86" i="87"/>
  <c r="K78" i="87"/>
  <c r="M78" i="87" s="1"/>
  <c r="K77" i="87"/>
  <c r="K76" i="87"/>
  <c r="K73" i="87"/>
  <c r="E64" i="87"/>
  <c r="I64" i="87"/>
  <c r="W23" i="87"/>
  <c r="U26" i="87"/>
  <c r="W26" i="87" s="1"/>
  <c r="W25" i="87"/>
  <c r="H64" i="87"/>
  <c r="W19" i="87"/>
  <c r="W21" i="87"/>
  <c r="W22" i="87"/>
  <c r="W24" i="87"/>
  <c r="W35" i="87"/>
  <c r="W36" i="87"/>
  <c r="U56" i="87"/>
  <c r="V42" i="87"/>
  <c r="U42" i="87" s="1"/>
  <c r="W27" i="87"/>
  <c r="W29" i="87"/>
  <c r="W16" i="87"/>
  <c r="W15" i="87"/>
  <c r="U49" i="87"/>
  <c r="U40" i="87"/>
  <c r="U48" i="87"/>
  <c r="U53" i="87" s="1"/>
  <c r="W17" i="87"/>
  <c r="W18" i="87"/>
  <c r="W20" i="87"/>
  <c r="W30" i="87"/>
  <c r="J64" i="87"/>
  <c r="U51" i="87"/>
  <c r="U52" i="87"/>
  <c r="U46" i="87"/>
  <c r="W28" i="87"/>
  <c r="F64" i="87"/>
  <c r="U44" i="87"/>
  <c r="U31" i="87"/>
  <c r="W31" i="87" s="1"/>
  <c r="W13" i="87"/>
  <c r="D64" i="87"/>
  <c r="W32" i="87"/>
  <c r="U33" i="87"/>
  <c r="W33" i="87" s="1"/>
  <c r="U41" i="87"/>
  <c r="W34" i="87"/>
  <c r="G64" i="87"/>
  <c r="K72" i="87"/>
  <c r="L74" i="87"/>
  <c r="K67" i="87"/>
  <c r="K71" i="87"/>
  <c r="N71" i="87" s="1"/>
  <c r="K75" i="87"/>
  <c r="N75" i="87" s="1"/>
  <c r="K79" i="87"/>
  <c r="J80" i="87"/>
  <c r="K83" i="87"/>
  <c r="J84" i="87"/>
  <c r="K87" i="87"/>
  <c r="N87" i="87" s="1"/>
  <c r="N83" i="87" l="1"/>
  <c r="N81" i="87"/>
  <c r="M86" i="87"/>
  <c r="N77" i="87"/>
  <c r="M81" i="87"/>
  <c r="N73" i="87"/>
  <c r="N78" i="87"/>
  <c r="M74" i="87"/>
  <c r="N82" i="87"/>
  <c r="M67" i="87"/>
  <c r="N76" i="87"/>
  <c r="M76" i="87"/>
  <c r="M69" i="87"/>
  <c r="M73" i="87"/>
  <c r="N69" i="87"/>
  <c r="M70" i="87"/>
  <c r="M68" i="87"/>
  <c r="N79" i="87"/>
  <c r="M77" i="87"/>
  <c r="M79" i="87"/>
  <c r="M85" i="87"/>
  <c r="M72" i="87"/>
  <c r="M71" i="87"/>
  <c r="N67" i="87"/>
  <c r="M75" i="87"/>
  <c r="M87" i="87"/>
  <c r="U54" i="87"/>
  <c r="U55" i="87"/>
  <c r="M83" i="87"/>
  <c r="N72" i="87"/>
  <c r="N74" i="87"/>
  <c r="M80" i="87"/>
  <c r="N80" i="87"/>
  <c r="M84" i="87"/>
  <c r="N84" i="87"/>
  <c r="V56" i="21"/>
  <c r="V55" i="21"/>
  <c r="V54" i="21"/>
  <c r="V51" i="21"/>
  <c r="V49" i="21"/>
  <c r="V48" i="21"/>
  <c r="V44" i="21"/>
  <c r="S41" i="21"/>
  <c r="V56" i="69"/>
  <c r="V55" i="69"/>
  <c r="V54" i="69"/>
  <c r="V51" i="69"/>
  <c r="V49" i="69"/>
  <c r="V48" i="69"/>
  <c r="V44" i="69"/>
  <c r="S41" i="69"/>
  <c r="V56" i="70"/>
  <c r="V55" i="70"/>
  <c r="V54" i="70"/>
  <c r="V51" i="70"/>
  <c r="V49" i="70"/>
  <c r="V48" i="70"/>
  <c r="V44" i="70"/>
  <c r="S41" i="70"/>
  <c r="V56" i="68"/>
  <c r="V55" i="68"/>
  <c r="V54" i="68"/>
  <c r="V51" i="68"/>
  <c r="V49" i="68"/>
  <c r="V48" i="68"/>
  <c r="V44" i="68"/>
  <c r="S41" i="68"/>
  <c r="V56" i="71"/>
  <c r="V55" i="71"/>
  <c r="V54" i="71"/>
  <c r="V51" i="71"/>
  <c r="V49" i="71"/>
  <c r="V48" i="71"/>
  <c r="V44" i="71"/>
  <c r="S41" i="71"/>
  <c r="V56" i="72"/>
  <c r="V55" i="72"/>
  <c r="V54" i="72"/>
  <c r="V51" i="72"/>
  <c r="V49" i="72"/>
  <c r="V48" i="72"/>
  <c r="V44" i="72"/>
  <c r="S41" i="72"/>
  <c r="V56" i="73"/>
  <c r="V55" i="73"/>
  <c r="V54" i="73"/>
  <c r="V51" i="73"/>
  <c r="V49" i="73"/>
  <c r="V48" i="73"/>
  <c r="V44" i="73"/>
  <c r="S41" i="73"/>
  <c r="V56" i="74"/>
  <c r="V55" i="74"/>
  <c r="V54" i="74"/>
  <c r="V51" i="74"/>
  <c r="V49" i="74"/>
  <c r="V48" i="74"/>
  <c r="V44" i="74"/>
  <c r="S41" i="74"/>
  <c r="V56" i="76"/>
  <c r="V55" i="76"/>
  <c r="V54" i="76"/>
  <c r="V51" i="76"/>
  <c r="V49" i="76"/>
  <c r="V48" i="76"/>
  <c r="V44" i="76"/>
  <c r="S41" i="76"/>
  <c r="V56" i="75"/>
  <c r="V55" i="75"/>
  <c r="V54" i="75"/>
  <c r="V51" i="75"/>
  <c r="V49" i="75"/>
  <c r="V48" i="75"/>
  <c r="V44" i="75"/>
  <c r="S41" i="75"/>
  <c r="V56" i="77"/>
  <c r="V55" i="77"/>
  <c r="V54" i="77"/>
  <c r="V51" i="77"/>
  <c r="V49" i="77"/>
  <c r="V48" i="77"/>
  <c r="V44" i="77"/>
  <c r="S41" i="77"/>
  <c r="V56" i="78"/>
  <c r="V55" i="78"/>
  <c r="V54" i="78"/>
  <c r="V51" i="78"/>
  <c r="V49" i="78"/>
  <c r="V48" i="78"/>
  <c r="V44" i="78"/>
  <c r="S41" i="78"/>
  <c r="V56" i="80"/>
  <c r="V55" i="80"/>
  <c r="V54" i="80"/>
  <c r="V51" i="80"/>
  <c r="V49" i="80"/>
  <c r="V48" i="80"/>
  <c r="V44" i="80"/>
  <c r="S41" i="80"/>
  <c r="V56" i="81"/>
  <c r="V55" i="81"/>
  <c r="V54" i="81"/>
  <c r="V51" i="81"/>
  <c r="V49" i="81"/>
  <c r="V48" i="81"/>
  <c r="V44" i="81"/>
  <c r="S41" i="81"/>
  <c r="V56" i="83"/>
  <c r="V55" i="83"/>
  <c r="V54" i="83"/>
  <c r="V51" i="83"/>
  <c r="V49" i="83"/>
  <c r="V48" i="83"/>
  <c r="V44" i="83"/>
  <c r="S41" i="83"/>
  <c r="V56" i="79"/>
  <c r="V55" i="79"/>
  <c r="V54" i="79"/>
  <c r="V51" i="79"/>
  <c r="V49" i="79"/>
  <c r="V48" i="79"/>
  <c r="V44" i="79"/>
  <c r="S41" i="79"/>
  <c r="V56" i="82"/>
  <c r="V55" i="82"/>
  <c r="V54" i="82"/>
  <c r="V51" i="82"/>
  <c r="V49" i="82"/>
  <c r="V48" i="82"/>
  <c r="V44" i="82"/>
  <c r="S41" i="82"/>
  <c r="I40" i="21" l="1"/>
  <c r="J63" i="21"/>
  <c r="I63" i="21"/>
  <c r="J62" i="21"/>
  <c r="I62" i="21"/>
  <c r="J61" i="21"/>
  <c r="I61" i="21"/>
  <c r="J59" i="21"/>
  <c r="I59" i="21"/>
  <c r="J57" i="21"/>
  <c r="I57" i="21"/>
  <c r="J56" i="21"/>
  <c r="I56" i="21"/>
  <c r="J55" i="21"/>
  <c r="I55" i="21"/>
  <c r="J54" i="21"/>
  <c r="I54" i="21"/>
  <c r="J52" i="21"/>
  <c r="I52" i="21"/>
  <c r="J51" i="21"/>
  <c r="I51" i="21"/>
  <c r="J50" i="21"/>
  <c r="I50" i="21"/>
  <c r="J49" i="21"/>
  <c r="I49" i="21"/>
  <c r="J48" i="21"/>
  <c r="I48" i="21"/>
  <c r="J47" i="21"/>
  <c r="I47" i="21"/>
  <c r="J46" i="21"/>
  <c r="I46" i="21"/>
  <c r="J45" i="21"/>
  <c r="I45" i="21"/>
  <c r="J44" i="21"/>
  <c r="I44" i="21"/>
  <c r="J43" i="21"/>
  <c r="I43" i="21"/>
  <c r="J42" i="21"/>
  <c r="I42" i="21"/>
  <c r="J41" i="21"/>
  <c r="I41" i="21"/>
  <c r="J40" i="21"/>
  <c r="J39" i="21"/>
  <c r="J63" i="69"/>
  <c r="I63" i="69"/>
  <c r="J62" i="69"/>
  <c r="I62" i="69"/>
  <c r="J61" i="69"/>
  <c r="I61" i="69"/>
  <c r="J59" i="69"/>
  <c r="I59" i="69"/>
  <c r="J57" i="69"/>
  <c r="I57" i="69"/>
  <c r="J56" i="69"/>
  <c r="I56" i="69"/>
  <c r="J55" i="69"/>
  <c r="I55" i="69"/>
  <c r="J54" i="69"/>
  <c r="I54" i="69"/>
  <c r="J52" i="69"/>
  <c r="I52" i="69"/>
  <c r="J51" i="69"/>
  <c r="I51" i="69"/>
  <c r="J50" i="69"/>
  <c r="I50" i="69"/>
  <c r="J49" i="69"/>
  <c r="I49" i="69"/>
  <c r="J48" i="69"/>
  <c r="I48" i="69"/>
  <c r="J47" i="69"/>
  <c r="I47" i="69"/>
  <c r="J46" i="69"/>
  <c r="I46" i="69"/>
  <c r="J45" i="69"/>
  <c r="I45" i="69"/>
  <c r="J44" i="69"/>
  <c r="I44" i="69"/>
  <c r="J43" i="69"/>
  <c r="I43" i="69"/>
  <c r="J42" i="69"/>
  <c r="I42" i="69"/>
  <c r="J41" i="69"/>
  <c r="I41" i="69"/>
  <c r="J40" i="69"/>
  <c r="I40" i="69"/>
  <c r="J39" i="69"/>
  <c r="J63" i="70"/>
  <c r="I63" i="70"/>
  <c r="J62" i="70"/>
  <c r="I62" i="70"/>
  <c r="J61" i="70"/>
  <c r="I61" i="70"/>
  <c r="J59" i="70"/>
  <c r="I59" i="70"/>
  <c r="J57" i="70"/>
  <c r="I57" i="70"/>
  <c r="J56" i="70"/>
  <c r="I56" i="70"/>
  <c r="J55" i="70"/>
  <c r="I55" i="70"/>
  <c r="J54" i="70"/>
  <c r="I54" i="70"/>
  <c r="J52" i="70"/>
  <c r="I52" i="70"/>
  <c r="J51" i="70"/>
  <c r="I51" i="70"/>
  <c r="J50" i="70"/>
  <c r="I50" i="70"/>
  <c r="J49" i="70"/>
  <c r="I49" i="70"/>
  <c r="J48" i="70"/>
  <c r="I48" i="70"/>
  <c r="J47" i="70"/>
  <c r="I47" i="70"/>
  <c r="J46" i="70"/>
  <c r="I46" i="70"/>
  <c r="J45" i="70"/>
  <c r="I45" i="70"/>
  <c r="J44" i="70"/>
  <c r="I44" i="70"/>
  <c r="J43" i="70"/>
  <c r="I43" i="70"/>
  <c r="J42" i="70"/>
  <c r="I42" i="70"/>
  <c r="J41" i="70"/>
  <c r="I41" i="70"/>
  <c r="J40" i="70"/>
  <c r="I40" i="70"/>
  <c r="J39" i="70"/>
  <c r="J63" i="68"/>
  <c r="I63" i="68"/>
  <c r="J62" i="68"/>
  <c r="I62" i="68"/>
  <c r="J61" i="68"/>
  <c r="I61" i="68"/>
  <c r="J59" i="68"/>
  <c r="I59" i="68"/>
  <c r="J57" i="68"/>
  <c r="I57" i="68"/>
  <c r="J56" i="68"/>
  <c r="I56" i="68"/>
  <c r="J55" i="68"/>
  <c r="I55" i="68"/>
  <c r="J54" i="68"/>
  <c r="I54" i="68"/>
  <c r="J52" i="68"/>
  <c r="I52" i="68"/>
  <c r="J51" i="68"/>
  <c r="I51" i="68"/>
  <c r="J50" i="68"/>
  <c r="I50" i="68"/>
  <c r="J49" i="68"/>
  <c r="I49" i="68"/>
  <c r="J48" i="68"/>
  <c r="I48" i="68"/>
  <c r="J47" i="68"/>
  <c r="I47" i="68"/>
  <c r="J46" i="68"/>
  <c r="I46" i="68"/>
  <c r="J45" i="68"/>
  <c r="I45" i="68"/>
  <c r="J44" i="68"/>
  <c r="I44" i="68"/>
  <c r="J43" i="68"/>
  <c r="I43" i="68"/>
  <c r="J42" i="68"/>
  <c r="I42" i="68"/>
  <c r="J41" i="68"/>
  <c r="I41" i="68"/>
  <c r="J40" i="68"/>
  <c r="I40" i="68"/>
  <c r="J39" i="68"/>
  <c r="J63" i="71"/>
  <c r="I63" i="71"/>
  <c r="J62" i="71"/>
  <c r="I62" i="71"/>
  <c r="J61" i="71"/>
  <c r="I61" i="71"/>
  <c r="J59" i="71"/>
  <c r="I59" i="71"/>
  <c r="J57" i="71"/>
  <c r="I57" i="71"/>
  <c r="J56" i="71"/>
  <c r="I56" i="71"/>
  <c r="J55" i="71"/>
  <c r="I55" i="71"/>
  <c r="J54" i="71"/>
  <c r="I54" i="71"/>
  <c r="J52" i="71"/>
  <c r="I52" i="71"/>
  <c r="J51" i="71"/>
  <c r="I51" i="71"/>
  <c r="J50" i="71"/>
  <c r="I50" i="71"/>
  <c r="J49" i="71"/>
  <c r="I49" i="71"/>
  <c r="J48" i="71"/>
  <c r="I48" i="71"/>
  <c r="J47" i="71"/>
  <c r="I47" i="71"/>
  <c r="J46" i="71"/>
  <c r="I46" i="71"/>
  <c r="J45" i="71"/>
  <c r="I45" i="71"/>
  <c r="J44" i="71"/>
  <c r="I44" i="71"/>
  <c r="J43" i="71"/>
  <c r="I43" i="71"/>
  <c r="J42" i="71"/>
  <c r="I42" i="71"/>
  <c r="J41" i="71"/>
  <c r="I41" i="71"/>
  <c r="J40" i="71"/>
  <c r="I40" i="71"/>
  <c r="J39" i="71"/>
  <c r="J63" i="72"/>
  <c r="I63" i="72"/>
  <c r="J62" i="72"/>
  <c r="I62" i="72"/>
  <c r="J61" i="72"/>
  <c r="I61" i="72"/>
  <c r="J59" i="72"/>
  <c r="I59" i="72"/>
  <c r="J57" i="72"/>
  <c r="I57" i="72"/>
  <c r="J56" i="72"/>
  <c r="I56" i="72"/>
  <c r="J55" i="72"/>
  <c r="I55" i="72"/>
  <c r="J54" i="72"/>
  <c r="I54" i="72"/>
  <c r="J52" i="72"/>
  <c r="I52" i="72"/>
  <c r="J51" i="72"/>
  <c r="I51" i="72"/>
  <c r="J50" i="72"/>
  <c r="I50" i="72"/>
  <c r="J49" i="72"/>
  <c r="I49" i="72"/>
  <c r="J48" i="72"/>
  <c r="I48" i="72"/>
  <c r="J47" i="72"/>
  <c r="I47" i="72"/>
  <c r="J46" i="72"/>
  <c r="I46" i="72"/>
  <c r="J45" i="72"/>
  <c r="I45" i="72"/>
  <c r="J44" i="72"/>
  <c r="I44" i="72"/>
  <c r="J43" i="72"/>
  <c r="I43" i="72"/>
  <c r="J42" i="72"/>
  <c r="I42" i="72"/>
  <c r="J41" i="72"/>
  <c r="I41" i="72"/>
  <c r="J40" i="72"/>
  <c r="I40" i="72"/>
  <c r="J39" i="72"/>
  <c r="J63" i="73"/>
  <c r="I63" i="73"/>
  <c r="J62" i="73"/>
  <c r="I62" i="73"/>
  <c r="J61" i="73"/>
  <c r="I61" i="73"/>
  <c r="J59" i="73"/>
  <c r="I59" i="73"/>
  <c r="J57" i="73"/>
  <c r="I57" i="73"/>
  <c r="J56" i="73"/>
  <c r="I56" i="73"/>
  <c r="J55" i="73"/>
  <c r="I55" i="73"/>
  <c r="J54" i="73"/>
  <c r="I54" i="73"/>
  <c r="J52" i="73"/>
  <c r="I52" i="73"/>
  <c r="J51" i="73"/>
  <c r="I51" i="73"/>
  <c r="J50" i="73"/>
  <c r="I50" i="73"/>
  <c r="J49" i="73"/>
  <c r="I49" i="73"/>
  <c r="J48" i="73"/>
  <c r="I48" i="73"/>
  <c r="J47" i="73"/>
  <c r="I47" i="73"/>
  <c r="J46" i="73"/>
  <c r="I46" i="73"/>
  <c r="J45" i="73"/>
  <c r="I45" i="73"/>
  <c r="J44" i="73"/>
  <c r="I44" i="73"/>
  <c r="J43" i="73"/>
  <c r="I43" i="73"/>
  <c r="J42" i="73"/>
  <c r="I42" i="73"/>
  <c r="J41" i="73"/>
  <c r="I41" i="73"/>
  <c r="J40" i="73"/>
  <c r="I40" i="73"/>
  <c r="J39" i="73"/>
  <c r="J63" i="74"/>
  <c r="I63" i="74"/>
  <c r="J62" i="74"/>
  <c r="I62" i="74"/>
  <c r="J61" i="74"/>
  <c r="I61" i="74"/>
  <c r="J59" i="74"/>
  <c r="I59" i="74"/>
  <c r="J57" i="74"/>
  <c r="I57" i="74"/>
  <c r="J56" i="74"/>
  <c r="I56" i="74"/>
  <c r="J55" i="74"/>
  <c r="I55" i="74"/>
  <c r="J54" i="74"/>
  <c r="I54" i="74"/>
  <c r="J52" i="74"/>
  <c r="I52" i="74"/>
  <c r="J51" i="74"/>
  <c r="I51" i="74"/>
  <c r="J50" i="74"/>
  <c r="I50" i="74"/>
  <c r="J49" i="74"/>
  <c r="I49" i="74"/>
  <c r="J48" i="74"/>
  <c r="I48" i="74"/>
  <c r="J47" i="74"/>
  <c r="I47" i="74"/>
  <c r="J46" i="74"/>
  <c r="I46" i="74"/>
  <c r="J45" i="74"/>
  <c r="I45" i="74"/>
  <c r="J44" i="74"/>
  <c r="I44" i="74"/>
  <c r="J43" i="74"/>
  <c r="I43" i="74"/>
  <c r="J42" i="74"/>
  <c r="I42" i="74"/>
  <c r="J41" i="74"/>
  <c r="I41" i="74"/>
  <c r="J40" i="74"/>
  <c r="I40" i="74"/>
  <c r="J39" i="74"/>
  <c r="J63" i="76"/>
  <c r="I63" i="76"/>
  <c r="J62" i="76"/>
  <c r="I62" i="76"/>
  <c r="J61" i="76"/>
  <c r="I61" i="76"/>
  <c r="J59" i="76"/>
  <c r="I59" i="76"/>
  <c r="J57" i="76"/>
  <c r="I57" i="76"/>
  <c r="J56" i="76"/>
  <c r="I56" i="76"/>
  <c r="J55" i="76"/>
  <c r="I55" i="76"/>
  <c r="J54" i="76"/>
  <c r="I54" i="76"/>
  <c r="J52" i="76"/>
  <c r="I52" i="76"/>
  <c r="J51" i="76"/>
  <c r="I51" i="76"/>
  <c r="J50" i="76"/>
  <c r="I50" i="76"/>
  <c r="J49" i="76"/>
  <c r="I49" i="76"/>
  <c r="J48" i="76"/>
  <c r="I48" i="76"/>
  <c r="J47" i="76"/>
  <c r="I47" i="76"/>
  <c r="J46" i="76"/>
  <c r="I46" i="76"/>
  <c r="J45" i="76"/>
  <c r="I45" i="76"/>
  <c r="J44" i="76"/>
  <c r="I44" i="76"/>
  <c r="J43" i="76"/>
  <c r="I43" i="76"/>
  <c r="J42" i="76"/>
  <c r="I42" i="76"/>
  <c r="J41" i="76"/>
  <c r="I41" i="76"/>
  <c r="J40" i="76"/>
  <c r="I40" i="76"/>
  <c r="J39" i="76"/>
  <c r="J63" i="75"/>
  <c r="I63" i="75"/>
  <c r="J62" i="75"/>
  <c r="I62" i="75"/>
  <c r="J61" i="75"/>
  <c r="I61" i="75"/>
  <c r="J59" i="75"/>
  <c r="I59" i="75"/>
  <c r="J57" i="75"/>
  <c r="I57" i="75"/>
  <c r="J56" i="75"/>
  <c r="I56" i="75"/>
  <c r="J55" i="75"/>
  <c r="I55" i="75"/>
  <c r="J54" i="75"/>
  <c r="I54" i="75"/>
  <c r="J52" i="75"/>
  <c r="I52" i="75"/>
  <c r="J51" i="75"/>
  <c r="I51" i="75"/>
  <c r="J50" i="75"/>
  <c r="I50" i="75"/>
  <c r="J49" i="75"/>
  <c r="I49" i="75"/>
  <c r="J48" i="75"/>
  <c r="I48" i="75"/>
  <c r="J47" i="75"/>
  <c r="I47" i="75"/>
  <c r="J46" i="75"/>
  <c r="I46" i="75"/>
  <c r="J45" i="75"/>
  <c r="I45" i="75"/>
  <c r="J44" i="75"/>
  <c r="I44" i="75"/>
  <c r="J43" i="75"/>
  <c r="I43" i="75"/>
  <c r="J42" i="75"/>
  <c r="I42" i="75"/>
  <c r="J41" i="75"/>
  <c r="I41" i="75"/>
  <c r="J40" i="75"/>
  <c r="I40" i="75"/>
  <c r="J39" i="75"/>
  <c r="J63" i="77"/>
  <c r="I63" i="77"/>
  <c r="J62" i="77"/>
  <c r="I62" i="77"/>
  <c r="J61" i="77"/>
  <c r="I61" i="77"/>
  <c r="J59" i="77"/>
  <c r="I59" i="77"/>
  <c r="J57" i="77"/>
  <c r="I57" i="77"/>
  <c r="J56" i="77"/>
  <c r="I56" i="77"/>
  <c r="J55" i="77"/>
  <c r="I55" i="77"/>
  <c r="J54" i="77"/>
  <c r="I54" i="77"/>
  <c r="J52" i="77"/>
  <c r="I52" i="77"/>
  <c r="J51" i="77"/>
  <c r="I51" i="77"/>
  <c r="J50" i="77"/>
  <c r="I50" i="77"/>
  <c r="J49" i="77"/>
  <c r="I49" i="77"/>
  <c r="J48" i="77"/>
  <c r="I48" i="77"/>
  <c r="J47" i="77"/>
  <c r="I47" i="77"/>
  <c r="J46" i="77"/>
  <c r="I46" i="77"/>
  <c r="J45" i="77"/>
  <c r="I45" i="77"/>
  <c r="J44" i="77"/>
  <c r="I44" i="77"/>
  <c r="J43" i="77"/>
  <c r="I43" i="77"/>
  <c r="J42" i="77"/>
  <c r="I42" i="77"/>
  <c r="J41" i="77"/>
  <c r="I41" i="77"/>
  <c r="J40" i="77"/>
  <c r="I40" i="77"/>
  <c r="J39" i="77"/>
  <c r="J63" i="78"/>
  <c r="I63" i="78"/>
  <c r="J62" i="78"/>
  <c r="I62" i="78"/>
  <c r="J61" i="78"/>
  <c r="I61" i="78"/>
  <c r="J59" i="78"/>
  <c r="I59" i="78"/>
  <c r="J57" i="78"/>
  <c r="I57" i="78"/>
  <c r="J56" i="78"/>
  <c r="I56" i="78"/>
  <c r="J55" i="78"/>
  <c r="I55" i="78"/>
  <c r="J54" i="78"/>
  <c r="I54" i="78"/>
  <c r="J52" i="78"/>
  <c r="I52" i="78"/>
  <c r="J51" i="78"/>
  <c r="I51" i="78"/>
  <c r="J50" i="78"/>
  <c r="I50" i="78"/>
  <c r="J49" i="78"/>
  <c r="I49" i="78"/>
  <c r="J48" i="78"/>
  <c r="I48" i="78"/>
  <c r="J47" i="78"/>
  <c r="I47" i="78"/>
  <c r="J46" i="78"/>
  <c r="I46" i="78"/>
  <c r="J45" i="78"/>
  <c r="I45" i="78"/>
  <c r="J44" i="78"/>
  <c r="I44" i="78"/>
  <c r="J43" i="78"/>
  <c r="I43" i="78"/>
  <c r="J42" i="78"/>
  <c r="I42" i="78"/>
  <c r="J41" i="78"/>
  <c r="I41" i="78"/>
  <c r="J40" i="78"/>
  <c r="I40" i="78"/>
  <c r="J39" i="78"/>
  <c r="J63" i="80"/>
  <c r="I63" i="80"/>
  <c r="J62" i="80"/>
  <c r="I62" i="80"/>
  <c r="J61" i="80"/>
  <c r="I61" i="80"/>
  <c r="J59" i="80"/>
  <c r="I59" i="80"/>
  <c r="J57" i="80"/>
  <c r="I57" i="80"/>
  <c r="J56" i="80"/>
  <c r="I56" i="80"/>
  <c r="J55" i="80"/>
  <c r="I55" i="80"/>
  <c r="J54" i="80"/>
  <c r="I54" i="80"/>
  <c r="J52" i="80"/>
  <c r="I52" i="80"/>
  <c r="J51" i="80"/>
  <c r="I51" i="80"/>
  <c r="J50" i="80"/>
  <c r="I50" i="80"/>
  <c r="J49" i="80"/>
  <c r="I49" i="80"/>
  <c r="J48" i="80"/>
  <c r="I48" i="80"/>
  <c r="J47" i="80"/>
  <c r="I47" i="80"/>
  <c r="J46" i="80"/>
  <c r="I46" i="80"/>
  <c r="J45" i="80"/>
  <c r="I45" i="80"/>
  <c r="J44" i="80"/>
  <c r="I44" i="80"/>
  <c r="J43" i="80"/>
  <c r="I43" i="80"/>
  <c r="J42" i="80"/>
  <c r="I42" i="80"/>
  <c r="J41" i="80"/>
  <c r="I41" i="80"/>
  <c r="J40" i="80"/>
  <c r="I40" i="80"/>
  <c r="J39" i="80"/>
  <c r="J63" i="81"/>
  <c r="I63" i="81"/>
  <c r="J62" i="81"/>
  <c r="I62" i="81"/>
  <c r="J61" i="81"/>
  <c r="I61" i="81"/>
  <c r="J59" i="81"/>
  <c r="I59" i="81"/>
  <c r="J57" i="81"/>
  <c r="I57" i="81"/>
  <c r="J56" i="81"/>
  <c r="I56" i="81"/>
  <c r="J55" i="81"/>
  <c r="I55" i="81"/>
  <c r="J54" i="81"/>
  <c r="I54" i="81"/>
  <c r="J52" i="81"/>
  <c r="I52" i="81"/>
  <c r="J51" i="81"/>
  <c r="I51" i="81"/>
  <c r="J50" i="81"/>
  <c r="I50" i="81"/>
  <c r="J49" i="81"/>
  <c r="I49" i="81"/>
  <c r="J48" i="81"/>
  <c r="I48" i="81"/>
  <c r="J47" i="81"/>
  <c r="I47" i="81"/>
  <c r="J46" i="81"/>
  <c r="I46" i="81"/>
  <c r="J45" i="81"/>
  <c r="I45" i="81"/>
  <c r="J44" i="81"/>
  <c r="I44" i="81"/>
  <c r="J43" i="81"/>
  <c r="I43" i="81"/>
  <c r="J42" i="81"/>
  <c r="I42" i="81"/>
  <c r="J41" i="81"/>
  <c r="I41" i="81"/>
  <c r="J40" i="81"/>
  <c r="I40" i="81"/>
  <c r="J39" i="81"/>
  <c r="J63" i="83"/>
  <c r="I63" i="83"/>
  <c r="J62" i="83"/>
  <c r="I62" i="83"/>
  <c r="J61" i="83"/>
  <c r="I61" i="83"/>
  <c r="J59" i="83"/>
  <c r="I59" i="83"/>
  <c r="J57" i="83"/>
  <c r="I57" i="83"/>
  <c r="J56" i="83"/>
  <c r="I56" i="83"/>
  <c r="J55" i="83"/>
  <c r="I55" i="83"/>
  <c r="J54" i="83"/>
  <c r="I54" i="83"/>
  <c r="J52" i="83"/>
  <c r="I52" i="83"/>
  <c r="J51" i="83"/>
  <c r="I51" i="83"/>
  <c r="J50" i="83"/>
  <c r="I50" i="83"/>
  <c r="J49" i="83"/>
  <c r="I49" i="83"/>
  <c r="J48" i="83"/>
  <c r="I48" i="83"/>
  <c r="J47" i="83"/>
  <c r="I47" i="83"/>
  <c r="J46" i="83"/>
  <c r="I46" i="83"/>
  <c r="J45" i="83"/>
  <c r="I45" i="83"/>
  <c r="J44" i="83"/>
  <c r="I44" i="83"/>
  <c r="J43" i="83"/>
  <c r="I43" i="83"/>
  <c r="J42" i="83"/>
  <c r="I42" i="83"/>
  <c r="J41" i="83"/>
  <c r="I41" i="83"/>
  <c r="J40" i="83"/>
  <c r="I40" i="83"/>
  <c r="J39" i="83"/>
  <c r="J63" i="79"/>
  <c r="I63" i="79"/>
  <c r="J62" i="79"/>
  <c r="I62" i="79"/>
  <c r="J61" i="79"/>
  <c r="I61" i="79"/>
  <c r="J59" i="79"/>
  <c r="I59" i="79"/>
  <c r="J57" i="79"/>
  <c r="I57" i="79"/>
  <c r="J56" i="79"/>
  <c r="I56" i="79"/>
  <c r="J55" i="79"/>
  <c r="I55" i="79"/>
  <c r="J54" i="79"/>
  <c r="I54" i="79"/>
  <c r="J52" i="79"/>
  <c r="I52" i="79"/>
  <c r="J51" i="79"/>
  <c r="I51" i="79"/>
  <c r="J50" i="79"/>
  <c r="I50" i="79"/>
  <c r="J49" i="79"/>
  <c r="I49" i="79"/>
  <c r="J48" i="79"/>
  <c r="I48" i="79"/>
  <c r="J47" i="79"/>
  <c r="I47" i="79"/>
  <c r="J46" i="79"/>
  <c r="I46" i="79"/>
  <c r="J45" i="79"/>
  <c r="I45" i="79"/>
  <c r="J44" i="79"/>
  <c r="I44" i="79"/>
  <c r="J43" i="79"/>
  <c r="I43" i="79"/>
  <c r="J42" i="79"/>
  <c r="I42" i="79"/>
  <c r="J41" i="79"/>
  <c r="I41" i="79"/>
  <c r="J40" i="79"/>
  <c r="I40" i="79"/>
  <c r="J39" i="79"/>
  <c r="J63" i="82"/>
  <c r="I63" i="82"/>
  <c r="J62" i="82"/>
  <c r="I62" i="82"/>
  <c r="J61" i="82"/>
  <c r="I61" i="82"/>
  <c r="J59" i="82"/>
  <c r="I59" i="82"/>
  <c r="J57" i="82"/>
  <c r="I57" i="82"/>
  <c r="J56" i="82"/>
  <c r="I56" i="82"/>
  <c r="J55" i="82"/>
  <c r="I55" i="82"/>
  <c r="J54" i="82"/>
  <c r="I54" i="82"/>
  <c r="J52" i="82"/>
  <c r="I52" i="82"/>
  <c r="J51" i="82"/>
  <c r="I51" i="82"/>
  <c r="J50" i="82"/>
  <c r="I50" i="82"/>
  <c r="J49" i="82"/>
  <c r="I49" i="82"/>
  <c r="J48" i="82"/>
  <c r="I48" i="82"/>
  <c r="J47" i="82"/>
  <c r="I47" i="82"/>
  <c r="J46" i="82"/>
  <c r="I46" i="82"/>
  <c r="J45" i="82"/>
  <c r="I45" i="82"/>
  <c r="J44" i="82"/>
  <c r="I44" i="82"/>
  <c r="J43" i="82"/>
  <c r="I43" i="82"/>
  <c r="J42" i="82"/>
  <c r="I42" i="82"/>
  <c r="J41" i="82"/>
  <c r="I41" i="82"/>
  <c r="J40" i="82"/>
  <c r="I40" i="82"/>
  <c r="J39" i="82"/>
  <c r="J63" i="84"/>
  <c r="I63" i="84"/>
  <c r="J62" i="84"/>
  <c r="I62" i="84"/>
  <c r="J61" i="84"/>
  <c r="I61" i="84"/>
  <c r="J59" i="84"/>
  <c r="I59" i="84"/>
  <c r="J57" i="84"/>
  <c r="I57" i="84"/>
  <c r="J56" i="84"/>
  <c r="I56" i="84"/>
  <c r="J55" i="84"/>
  <c r="I55" i="84"/>
  <c r="J54" i="84"/>
  <c r="I54" i="84"/>
  <c r="J52" i="84"/>
  <c r="I52" i="84"/>
  <c r="J51" i="84"/>
  <c r="I51" i="84"/>
  <c r="J50" i="84"/>
  <c r="I50" i="84"/>
  <c r="J49" i="84"/>
  <c r="I49" i="84"/>
  <c r="J48" i="84"/>
  <c r="I48" i="84"/>
  <c r="J47" i="84"/>
  <c r="I47" i="84"/>
  <c r="J46" i="84"/>
  <c r="I46" i="84"/>
  <c r="J45" i="84"/>
  <c r="I45" i="84"/>
  <c r="J44" i="84"/>
  <c r="I44" i="84"/>
  <c r="J43" i="84"/>
  <c r="I43" i="84"/>
  <c r="J42" i="84"/>
  <c r="I42" i="84"/>
  <c r="J41" i="84"/>
  <c r="I41" i="84"/>
  <c r="J40" i="84"/>
  <c r="I40" i="84"/>
  <c r="J39" i="84"/>
  <c r="I49" i="85"/>
  <c r="J63" i="85"/>
  <c r="I63" i="85"/>
  <c r="J62" i="85"/>
  <c r="I62" i="85"/>
  <c r="J61" i="85"/>
  <c r="I61" i="85"/>
  <c r="J59" i="85"/>
  <c r="I59" i="85"/>
  <c r="J57" i="85"/>
  <c r="I57" i="85"/>
  <c r="J56" i="85"/>
  <c r="I56" i="85"/>
  <c r="J55" i="85"/>
  <c r="I55" i="85"/>
  <c r="J54" i="85"/>
  <c r="I54" i="85"/>
  <c r="J52" i="85"/>
  <c r="I52" i="85"/>
  <c r="J51" i="85"/>
  <c r="I51" i="85"/>
  <c r="J50" i="85"/>
  <c r="I50" i="85"/>
  <c r="J49" i="85"/>
  <c r="J48" i="85"/>
  <c r="I48" i="85"/>
  <c r="J47" i="85"/>
  <c r="I47" i="85"/>
  <c r="J46" i="85"/>
  <c r="I46" i="85"/>
  <c r="J45" i="85"/>
  <c r="I45" i="85"/>
  <c r="J44" i="85"/>
  <c r="I44" i="85"/>
  <c r="J43" i="85"/>
  <c r="I43" i="85"/>
  <c r="J42" i="85"/>
  <c r="I42" i="85"/>
  <c r="J41" i="85"/>
  <c r="I41" i="85"/>
  <c r="J40" i="85"/>
  <c r="I40" i="85"/>
  <c r="J39" i="85"/>
  <c r="J63" i="86"/>
  <c r="J41" i="86"/>
  <c r="J42" i="86"/>
  <c r="J43" i="86"/>
  <c r="J44" i="86"/>
  <c r="J45" i="86"/>
  <c r="J46" i="86"/>
  <c r="J47" i="86"/>
  <c r="J48" i="86"/>
  <c r="J49" i="86"/>
  <c r="J50" i="86"/>
  <c r="J51" i="86"/>
  <c r="J52" i="86"/>
  <c r="J54" i="86"/>
  <c r="J55" i="86"/>
  <c r="J56" i="86"/>
  <c r="J57" i="86"/>
  <c r="J59" i="86"/>
  <c r="J61" i="86"/>
  <c r="J62" i="86"/>
  <c r="J40" i="86"/>
  <c r="I63" i="86"/>
  <c r="I41" i="86"/>
  <c r="I42" i="86"/>
  <c r="I43" i="86"/>
  <c r="I44" i="86"/>
  <c r="I45" i="86"/>
  <c r="I46" i="86"/>
  <c r="I47" i="86"/>
  <c r="I48" i="86"/>
  <c r="I49" i="86"/>
  <c r="I50" i="86"/>
  <c r="I51" i="86"/>
  <c r="I52" i="86"/>
  <c r="I54" i="86"/>
  <c r="I55" i="86"/>
  <c r="I56" i="86"/>
  <c r="I57" i="86"/>
  <c r="I59" i="86"/>
  <c r="I61" i="86"/>
  <c r="I62" i="86"/>
  <c r="I40" i="86"/>
  <c r="J39" i="86"/>
  <c r="J64" i="70" l="1"/>
  <c r="I25" i="67" s="1"/>
  <c r="I64" i="70"/>
  <c r="H25" i="67" s="1"/>
  <c r="J64" i="21"/>
  <c r="I27" i="67" s="1"/>
  <c r="I64" i="21"/>
  <c r="H27" i="67" s="1"/>
  <c r="J64" i="69"/>
  <c r="I26" i="67" s="1"/>
  <c r="I64" i="69"/>
  <c r="H26" i="67" s="1"/>
  <c r="J64" i="68"/>
  <c r="I24" i="67" s="1"/>
  <c r="I64" i="68"/>
  <c r="H24" i="67" s="1"/>
  <c r="J64" i="71"/>
  <c r="I23" i="67" s="1"/>
  <c r="I64" i="71"/>
  <c r="H23" i="67" s="1"/>
  <c r="J64" i="72"/>
  <c r="I22" i="67" s="1"/>
  <c r="I64" i="72"/>
  <c r="H22" i="67" s="1"/>
  <c r="J64" i="73"/>
  <c r="I21" i="67" s="1"/>
  <c r="J64" i="74"/>
  <c r="I20" i="67" s="1"/>
  <c r="J64" i="76"/>
  <c r="I19" i="67" s="1"/>
  <c r="J64" i="75"/>
  <c r="I18" i="67" s="1"/>
  <c r="J64" i="77"/>
  <c r="I17" i="67" s="1"/>
  <c r="J64" i="78"/>
  <c r="I16" i="67" s="1"/>
  <c r="J64" i="80"/>
  <c r="I15" i="67" s="1"/>
  <c r="J64" i="81"/>
  <c r="I14" i="67" s="1"/>
  <c r="J64" i="83"/>
  <c r="I13" i="67" s="1"/>
  <c r="J64" i="79"/>
  <c r="I12" i="67" s="1"/>
  <c r="J64" i="82"/>
  <c r="I11" i="67" s="1"/>
  <c r="J64" i="84"/>
  <c r="I10" i="67" s="1"/>
  <c r="J64" i="85"/>
  <c r="I9" i="67" s="1"/>
  <c r="J64" i="86"/>
  <c r="I8" i="67" s="1"/>
  <c r="I64" i="77"/>
  <c r="H17" i="67" s="1"/>
  <c r="I64" i="73"/>
  <c r="H21" i="67" s="1"/>
  <c r="I64" i="74"/>
  <c r="H20" i="67" s="1"/>
  <c r="I64" i="76"/>
  <c r="H19" i="67" s="1"/>
  <c r="I64" i="75"/>
  <c r="H18" i="67" s="1"/>
  <c r="I64" i="78"/>
  <c r="H16" i="67" s="1"/>
  <c r="I64" i="80"/>
  <c r="H15" i="67" s="1"/>
  <c r="I64" i="81"/>
  <c r="H14" i="67" s="1"/>
  <c r="I64" i="83"/>
  <c r="H13" i="67" s="1"/>
  <c r="I64" i="79"/>
  <c r="H12" i="67" s="1"/>
  <c r="I64" i="82"/>
  <c r="H11" i="67" s="1"/>
  <c r="I64" i="84"/>
  <c r="H10" i="67" s="1"/>
  <c r="I64" i="86"/>
  <c r="H8" i="67" s="1"/>
  <c r="I64" i="85"/>
  <c r="H9" i="67" s="1"/>
  <c r="D34" i="65"/>
  <c r="N14" i="21"/>
  <c r="U14" i="21" s="1"/>
  <c r="N35" i="21"/>
  <c r="U35" i="21" s="1"/>
  <c r="N36" i="21"/>
  <c r="U36" i="21" s="1"/>
  <c r="N13" i="21"/>
  <c r="U13" i="21" s="1"/>
  <c r="N25" i="21"/>
  <c r="U25" i="21" s="1"/>
  <c r="N17" i="21"/>
  <c r="U17" i="21" s="1"/>
  <c r="N30" i="21"/>
  <c r="U30" i="21" s="1"/>
  <c r="N23" i="21"/>
  <c r="U23" i="21" s="1"/>
  <c r="N32" i="21"/>
  <c r="U32" i="21" s="1"/>
  <c r="N24" i="21"/>
  <c r="U24" i="21"/>
  <c r="U8" i="21"/>
  <c r="U10" i="21"/>
  <c r="U11" i="21"/>
  <c r="U7" i="21"/>
  <c r="N18" i="21"/>
  <c r="U18" i="21" s="1"/>
  <c r="N21" i="21"/>
  <c r="U21" i="21" s="1"/>
  <c r="N22" i="21"/>
  <c r="U22" i="21" s="1"/>
  <c r="N28" i="21"/>
  <c r="U28" i="21" s="1"/>
  <c r="N29" i="21"/>
  <c r="U29" i="21" s="1"/>
  <c r="N34" i="21"/>
  <c r="U34" i="21" s="1"/>
  <c r="N27" i="21"/>
  <c r="U27" i="21" s="1"/>
  <c r="N14" i="69"/>
  <c r="U14" i="69" s="1"/>
  <c r="N35" i="69"/>
  <c r="U35" i="69" s="1"/>
  <c r="N36" i="69"/>
  <c r="U36" i="69" s="1"/>
  <c r="N13" i="69"/>
  <c r="U13" i="69" s="1"/>
  <c r="N25" i="69"/>
  <c r="U25" i="69" s="1"/>
  <c r="N17" i="69"/>
  <c r="U17" i="69" s="1"/>
  <c r="N30" i="69"/>
  <c r="U30" i="69" s="1"/>
  <c r="N23" i="69"/>
  <c r="U23" i="69" s="1"/>
  <c r="N32" i="69"/>
  <c r="U32" i="69" s="1"/>
  <c r="N24" i="69"/>
  <c r="U24" i="69" s="1"/>
  <c r="U8" i="69"/>
  <c r="U10" i="69"/>
  <c r="U11" i="69"/>
  <c r="U7" i="69"/>
  <c r="N18" i="69"/>
  <c r="U18" i="69" s="1"/>
  <c r="N21" i="69"/>
  <c r="U21" i="69" s="1"/>
  <c r="N22" i="69"/>
  <c r="U22" i="69" s="1"/>
  <c r="N28" i="69"/>
  <c r="U28" i="69" s="1"/>
  <c r="N29" i="69"/>
  <c r="U29" i="69" s="1"/>
  <c r="N34" i="69"/>
  <c r="U34" i="69" s="1"/>
  <c r="N27" i="69"/>
  <c r="U27" i="69" s="1"/>
  <c r="N14" i="70"/>
  <c r="U14" i="70" s="1"/>
  <c r="N35" i="70"/>
  <c r="U35" i="70" s="1"/>
  <c r="N36" i="70"/>
  <c r="U36" i="70" s="1"/>
  <c r="N13" i="70"/>
  <c r="U13" i="70" s="1"/>
  <c r="N25" i="70"/>
  <c r="U25" i="70" s="1"/>
  <c r="N17" i="70"/>
  <c r="U17" i="70" s="1"/>
  <c r="N30" i="70"/>
  <c r="U30" i="70" s="1"/>
  <c r="N23" i="70"/>
  <c r="U23" i="70" s="1"/>
  <c r="N32" i="70"/>
  <c r="U32" i="70" s="1"/>
  <c r="N24" i="70"/>
  <c r="U24" i="70" s="1"/>
  <c r="U8" i="70"/>
  <c r="U10" i="70"/>
  <c r="U11" i="70"/>
  <c r="U7" i="70"/>
  <c r="N18" i="70"/>
  <c r="U18" i="70"/>
  <c r="N21" i="70"/>
  <c r="U21" i="70" s="1"/>
  <c r="N22" i="70"/>
  <c r="U22" i="70" s="1"/>
  <c r="N28" i="70"/>
  <c r="U28" i="70" s="1"/>
  <c r="N29" i="70"/>
  <c r="U29" i="70" s="1"/>
  <c r="N34" i="70"/>
  <c r="U34" i="70" s="1"/>
  <c r="N27" i="70"/>
  <c r="U27" i="70" s="1"/>
  <c r="N14" i="68"/>
  <c r="U14" i="68" s="1"/>
  <c r="N35" i="68"/>
  <c r="U35" i="68" s="1"/>
  <c r="N36" i="68"/>
  <c r="U36" i="68" s="1"/>
  <c r="N13" i="68"/>
  <c r="U13" i="68" s="1"/>
  <c r="N25" i="68"/>
  <c r="U25" i="68" s="1"/>
  <c r="N17" i="68"/>
  <c r="U17" i="68" s="1"/>
  <c r="N30" i="68"/>
  <c r="U30" i="68" s="1"/>
  <c r="N23" i="68"/>
  <c r="U23" i="68" s="1"/>
  <c r="N32" i="68"/>
  <c r="U32" i="68" s="1"/>
  <c r="N24" i="68"/>
  <c r="U24" i="68" s="1"/>
  <c r="U8" i="68"/>
  <c r="U10" i="68"/>
  <c r="U11" i="68"/>
  <c r="U7" i="68"/>
  <c r="N18" i="68"/>
  <c r="U18" i="68" s="1"/>
  <c r="N21" i="68"/>
  <c r="U21" i="68" s="1"/>
  <c r="N22" i="68"/>
  <c r="U22" i="68" s="1"/>
  <c r="N28" i="68"/>
  <c r="U28" i="68" s="1"/>
  <c r="N29" i="68"/>
  <c r="U29" i="68" s="1"/>
  <c r="N34" i="68"/>
  <c r="U34" i="68" s="1"/>
  <c r="N27" i="68"/>
  <c r="U27" i="68" s="1"/>
  <c r="N14" i="71"/>
  <c r="U14" i="71" s="1"/>
  <c r="N35" i="71"/>
  <c r="U35" i="71" s="1"/>
  <c r="N36" i="71"/>
  <c r="U36" i="71" s="1"/>
  <c r="N13" i="71"/>
  <c r="U13" i="71" s="1"/>
  <c r="N25" i="71"/>
  <c r="U25" i="71" s="1"/>
  <c r="N17" i="71"/>
  <c r="U17" i="71" s="1"/>
  <c r="N30" i="71"/>
  <c r="U30" i="71" s="1"/>
  <c r="N23" i="71"/>
  <c r="U23" i="71" s="1"/>
  <c r="N32" i="71"/>
  <c r="U32" i="71" s="1"/>
  <c r="N24" i="71"/>
  <c r="U24" i="71" s="1"/>
  <c r="U8" i="71"/>
  <c r="U10" i="71"/>
  <c r="U11" i="71"/>
  <c r="U7" i="71"/>
  <c r="N18" i="71"/>
  <c r="U18" i="71" s="1"/>
  <c r="N21" i="71"/>
  <c r="U21" i="71" s="1"/>
  <c r="N22" i="71"/>
  <c r="U22" i="71" s="1"/>
  <c r="N28" i="71"/>
  <c r="U28" i="71" s="1"/>
  <c r="N29" i="71"/>
  <c r="U29" i="71" s="1"/>
  <c r="N34" i="71"/>
  <c r="U34" i="71" s="1"/>
  <c r="N27" i="71"/>
  <c r="U27" i="71" s="1"/>
  <c r="N14" i="72"/>
  <c r="U14" i="72" s="1"/>
  <c r="N35" i="72"/>
  <c r="U35" i="72" s="1"/>
  <c r="N36" i="72"/>
  <c r="U36" i="72" s="1"/>
  <c r="N13" i="72"/>
  <c r="U13" i="72" s="1"/>
  <c r="N25" i="72"/>
  <c r="U25" i="72" s="1"/>
  <c r="N17" i="72"/>
  <c r="U17" i="72" s="1"/>
  <c r="N30" i="72"/>
  <c r="U30" i="72" s="1"/>
  <c r="N23" i="72"/>
  <c r="U23" i="72" s="1"/>
  <c r="N32" i="72"/>
  <c r="U32" i="72" s="1"/>
  <c r="N24" i="72"/>
  <c r="U24" i="72" s="1"/>
  <c r="U8" i="72"/>
  <c r="U10" i="72"/>
  <c r="U11" i="72"/>
  <c r="U7" i="72"/>
  <c r="N18" i="72"/>
  <c r="U18" i="72" s="1"/>
  <c r="N21" i="72"/>
  <c r="U21" i="72" s="1"/>
  <c r="N22" i="72"/>
  <c r="U22" i="72" s="1"/>
  <c r="N28" i="72"/>
  <c r="U28" i="72" s="1"/>
  <c r="N29" i="72"/>
  <c r="U29" i="72" s="1"/>
  <c r="N34" i="72"/>
  <c r="U34" i="72" s="1"/>
  <c r="N27" i="72"/>
  <c r="U27" i="72" s="1"/>
  <c r="N14" i="73"/>
  <c r="U14" i="73" s="1"/>
  <c r="N35" i="73"/>
  <c r="U35" i="73" s="1"/>
  <c r="N36" i="73"/>
  <c r="U36" i="73" s="1"/>
  <c r="N13" i="73"/>
  <c r="U13" i="73"/>
  <c r="N25" i="73"/>
  <c r="U25" i="73"/>
  <c r="N17" i="73"/>
  <c r="U17" i="73" s="1"/>
  <c r="N30" i="73"/>
  <c r="U30" i="73" s="1"/>
  <c r="N23" i="73"/>
  <c r="U23" i="73" s="1"/>
  <c r="N32" i="73"/>
  <c r="U32" i="73" s="1"/>
  <c r="N24" i="73"/>
  <c r="U24" i="73" s="1"/>
  <c r="U8" i="73"/>
  <c r="U10" i="73"/>
  <c r="U11" i="73"/>
  <c r="U7" i="73"/>
  <c r="N18" i="73"/>
  <c r="U18" i="73" s="1"/>
  <c r="N21" i="73"/>
  <c r="U21" i="73" s="1"/>
  <c r="N22" i="73"/>
  <c r="U22" i="73" s="1"/>
  <c r="N28" i="73"/>
  <c r="U28" i="73" s="1"/>
  <c r="N29" i="73"/>
  <c r="U29" i="73" s="1"/>
  <c r="N34" i="73"/>
  <c r="U34" i="73" s="1"/>
  <c r="N27" i="73"/>
  <c r="U27" i="73" s="1"/>
  <c r="N14" i="74"/>
  <c r="U14" i="74" s="1"/>
  <c r="N35" i="74"/>
  <c r="U35" i="74" s="1"/>
  <c r="N36" i="74"/>
  <c r="U36" i="74" s="1"/>
  <c r="N13" i="74"/>
  <c r="U13" i="74"/>
  <c r="N25" i="74"/>
  <c r="U25" i="74" s="1"/>
  <c r="N17" i="74"/>
  <c r="U17" i="74" s="1"/>
  <c r="N30" i="74"/>
  <c r="U30" i="74" s="1"/>
  <c r="N23" i="74"/>
  <c r="U23" i="74" s="1"/>
  <c r="N32" i="74"/>
  <c r="U32" i="74" s="1"/>
  <c r="N24" i="74"/>
  <c r="U24" i="74" s="1"/>
  <c r="U8" i="74"/>
  <c r="U10" i="74"/>
  <c r="U11" i="74"/>
  <c r="U7" i="74"/>
  <c r="N18" i="74"/>
  <c r="U18" i="74" s="1"/>
  <c r="N21" i="74"/>
  <c r="U21" i="74" s="1"/>
  <c r="N22" i="74"/>
  <c r="U22" i="74" s="1"/>
  <c r="N28" i="74"/>
  <c r="U28" i="74" s="1"/>
  <c r="N29" i="74"/>
  <c r="U29" i="74" s="1"/>
  <c r="N34" i="74"/>
  <c r="U34" i="74" s="1"/>
  <c r="N27" i="74"/>
  <c r="U27" i="74" s="1"/>
  <c r="N14" i="76"/>
  <c r="U14" i="76" s="1"/>
  <c r="N35" i="76"/>
  <c r="U35" i="76" s="1"/>
  <c r="N36" i="76"/>
  <c r="U36" i="76" s="1"/>
  <c r="N13" i="76"/>
  <c r="U13" i="76" s="1"/>
  <c r="N25" i="76"/>
  <c r="U25" i="76" s="1"/>
  <c r="N17" i="76"/>
  <c r="U17" i="76" s="1"/>
  <c r="N30" i="76"/>
  <c r="U30" i="76" s="1"/>
  <c r="N23" i="76"/>
  <c r="U23" i="76" s="1"/>
  <c r="N32" i="76"/>
  <c r="U32" i="76" s="1"/>
  <c r="N24" i="76"/>
  <c r="U24" i="76" s="1"/>
  <c r="U8" i="76"/>
  <c r="U10" i="76"/>
  <c r="U11" i="76"/>
  <c r="U7" i="76"/>
  <c r="N18" i="76"/>
  <c r="U18" i="76" s="1"/>
  <c r="N21" i="76"/>
  <c r="U21" i="76" s="1"/>
  <c r="N22" i="76"/>
  <c r="U22" i="76" s="1"/>
  <c r="N28" i="76"/>
  <c r="U28" i="76" s="1"/>
  <c r="N29" i="76"/>
  <c r="U29" i="76" s="1"/>
  <c r="N34" i="76"/>
  <c r="U34" i="76" s="1"/>
  <c r="N27" i="76"/>
  <c r="U27" i="76" s="1"/>
  <c r="N14" i="75"/>
  <c r="U14" i="75"/>
  <c r="N35" i="75"/>
  <c r="U35" i="75" s="1"/>
  <c r="N36" i="75"/>
  <c r="U36" i="75" s="1"/>
  <c r="N13" i="75"/>
  <c r="U13" i="75" s="1"/>
  <c r="N25" i="75"/>
  <c r="U25" i="75" s="1"/>
  <c r="N17" i="75"/>
  <c r="U17" i="75" s="1"/>
  <c r="N30" i="75"/>
  <c r="U30" i="75" s="1"/>
  <c r="N23" i="75"/>
  <c r="U23" i="75" s="1"/>
  <c r="N32" i="75"/>
  <c r="U32" i="75" s="1"/>
  <c r="N24" i="75"/>
  <c r="U24" i="75" s="1"/>
  <c r="U8" i="75"/>
  <c r="U10" i="75"/>
  <c r="U11" i="75"/>
  <c r="U7" i="75"/>
  <c r="N18" i="75"/>
  <c r="U18" i="75" s="1"/>
  <c r="N21" i="75"/>
  <c r="U21" i="75" s="1"/>
  <c r="N22" i="75"/>
  <c r="U22" i="75" s="1"/>
  <c r="W22" i="75" s="1"/>
  <c r="N28" i="75"/>
  <c r="U28" i="75" s="1"/>
  <c r="N29" i="75"/>
  <c r="U29" i="75" s="1"/>
  <c r="N34" i="75"/>
  <c r="U34" i="75" s="1"/>
  <c r="N27" i="75"/>
  <c r="U27" i="75" s="1"/>
  <c r="N14" i="77"/>
  <c r="U14" i="77" s="1"/>
  <c r="N35" i="77"/>
  <c r="U35" i="77" s="1"/>
  <c r="N36" i="77"/>
  <c r="U36" i="77" s="1"/>
  <c r="N13" i="77"/>
  <c r="U13" i="77" s="1"/>
  <c r="N25" i="77"/>
  <c r="U25" i="77" s="1"/>
  <c r="N17" i="77"/>
  <c r="U17" i="77" s="1"/>
  <c r="N30" i="77"/>
  <c r="U30" i="77" s="1"/>
  <c r="N23" i="77"/>
  <c r="U23" i="77" s="1"/>
  <c r="N32" i="77"/>
  <c r="U32" i="77" s="1"/>
  <c r="N24" i="77"/>
  <c r="U24" i="77" s="1"/>
  <c r="U8" i="77"/>
  <c r="U10" i="77"/>
  <c r="U11" i="77"/>
  <c r="U7" i="77"/>
  <c r="N18" i="77"/>
  <c r="U18" i="77" s="1"/>
  <c r="N21" i="77"/>
  <c r="U21" i="77" s="1"/>
  <c r="N22" i="77"/>
  <c r="U22" i="77" s="1"/>
  <c r="N28" i="77"/>
  <c r="U28" i="77" s="1"/>
  <c r="N29" i="77"/>
  <c r="U29" i="77" s="1"/>
  <c r="N34" i="77"/>
  <c r="U34" i="77" s="1"/>
  <c r="N27" i="77"/>
  <c r="U27" i="77" s="1"/>
  <c r="N14" i="78"/>
  <c r="U14" i="78" s="1"/>
  <c r="N35" i="78"/>
  <c r="U35" i="78" s="1"/>
  <c r="N36" i="78"/>
  <c r="U36" i="78" s="1"/>
  <c r="N13" i="78"/>
  <c r="U13" i="78" s="1"/>
  <c r="N25" i="78"/>
  <c r="U25" i="78" s="1"/>
  <c r="N17" i="78"/>
  <c r="U17" i="78" s="1"/>
  <c r="N30" i="78"/>
  <c r="U30" i="78" s="1"/>
  <c r="N23" i="78"/>
  <c r="U23" i="78" s="1"/>
  <c r="N32" i="78"/>
  <c r="U32" i="78" s="1"/>
  <c r="N24" i="78"/>
  <c r="U24" i="78" s="1"/>
  <c r="U8" i="78"/>
  <c r="U10" i="78"/>
  <c r="U11" i="78"/>
  <c r="U7" i="78"/>
  <c r="N18" i="78"/>
  <c r="U18" i="78" s="1"/>
  <c r="N21" i="78"/>
  <c r="U21" i="78" s="1"/>
  <c r="N22" i="78"/>
  <c r="U22" i="78" s="1"/>
  <c r="N28" i="78"/>
  <c r="U28" i="78" s="1"/>
  <c r="N29" i="78"/>
  <c r="U29" i="78" s="1"/>
  <c r="N34" i="78"/>
  <c r="U34" i="78" s="1"/>
  <c r="N27" i="78"/>
  <c r="U27" i="78" s="1"/>
  <c r="N14" i="80"/>
  <c r="U14" i="80" s="1"/>
  <c r="N35" i="80"/>
  <c r="U35" i="80" s="1"/>
  <c r="N36" i="80"/>
  <c r="U36" i="80" s="1"/>
  <c r="N13" i="80"/>
  <c r="U13" i="80" s="1"/>
  <c r="N25" i="80"/>
  <c r="U25" i="80" s="1"/>
  <c r="N17" i="80"/>
  <c r="U17" i="80" s="1"/>
  <c r="N30" i="80"/>
  <c r="U30" i="80" s="1"/>
  <c r="N23" i="80"/>
  <c r="U23" i="80"/>
  <c r="N32" i="80"/>
  <c r="U32" i="80" s="1"/>
  <c r="N24" i="80"/>
  <c r="U24" i="80" s="1"/>
  <c r="U8" i="80"/>
  <c r="U10" i="80"/>
  <c r="U11" i="80"/>
  <c r="U7" i="80"/>
  <c r="N18" i="80"/>
  <c r="U18" i="80" s="1"/>
  <c r="N21" i="80"/>
  <c r="U21" i="80" s="1"/>
  <c r="N22" i="80"/>
  <c r="U22" i="80" s="1"/>
  <c r="N28" i="80"/>
  <c r="U28" i="80" s="1"/>
  <c r="N29" i="80"/>
  <c r="U29" i="80" s="1"/>
  <c r="N34" i="80"/>
  <c r="U34" i="80" s="1"/>
  <c r="N27" i="80"/>
  <c r="U27" i="80" s="1"/>
  <c r="N14" i="81"/>
  <c r="U14" i="81" s="1"/>
  <c r="N35" i="81"/>
  <c r="U35" i="81" s="1"/>
  <c r="N36" i="81"/>
  <c r="U36" i="81" s="1"/>
  <c r="N13" i="81"/>
  <c r="U13" i="81" s="1"/>
  <c r="N25" i="81"/>
  <c r="U25" i="81" s="1"/>
  <c r="N17" i="81"/>
  <c r="U17" i="81"/>
  <c r="N30" i="81"/>
  <c r="U30" i="81" s="1"/>
  <c r="N23" i="81"/>
  <c r="U23" i="81" s="1"/>
  <c r="N32" i="81"/>
  <c r="U32" i="81" s="1"/>
  <c r="N24" i="81"/>
  <c r="U24" i="81" s="1"/>
  <c r="U8" i="81"/>
  <c r="U10" i="81"/>
  <c r="U11" i="81"/>
  <c r="U7" i="81"/>
  <c r="N18" i="81"/>
  <c r="U18" i="81" s="1"/>
  <c r="N21" i="81"/>
  <c r="U21" i="81" s="1"/>
  <c r="N22" i="81"/>
  <c r="U22" i="81"/>
  <c r="N28" i="81"/>
  <c r="U28" i="81"/>
  <c r="N29" i="81"/>
  <c r="U29" i="81" s="1"/>
  <c r="N34" i="81"/>
  <c r="U34" i="81" s="1"/>
  <c r="N27" i="81"/>
  <c r="U27" i="81" s="1"/>
  <c r="N14" i="83"/>
  <c r="U14" i="83" s="1"/>
  <c r="N35" i="83"/>
  <c r="U35" i="83" s="1"/>
  <c r="N36" i="83"/>
  <c r="U36" i="83" s="1"/>
  <c r="N13" i="83"/>
  <c r="U13" i="83" s="1"/>
  <c r="N25" i="83"/>
  <c r="U25" i="83" s="1"/>
  <c r="N17" i="83"/>
  <c r="U17" i="83" s="1"/>
  <c r="N30" i="83"/>
  <c r="U30" i="83" s="1"/>
  <c r="N23" i="83"/>
  <c r="U23" i="83" s="1"/>
  <c r="N32" i="83"/>
  <c r="U32" i="83" s="1"/>
  <c r="N24" i="83"/>
  <c r="U24" i="83" s="1"/>
  <c r="U8" i="83"/>
  <c r="U10" i="83"/>
  <c r="U11" i="83"/>
  <c r="U7" i="83"/>
  <c r="N18" i="83"/>
  <c r="U18" i="83" s="1"/>
  <c r="N21" i="83"/>
  <c r="U21" i="83" s="1"/>
  <c r="N22" i="83"/>
  <c r="U22" i="83" s="1"/>
  <c r="N28" i="83"/>
  <c r="U28" i="83" s="1"/>
  <c r="N29" i="83"/>
  <c r="U29" i="83" s="1"/>
  <c r="N34" i="83"/>
  <c r="U34" i="83" s="1"/>
  <c r="N27" i="83"/>
  <c r="U27" i="83" s="1"/>
  <c r="N14" i="79"/>
  <c r="U14" i="79" s="1"/>
  <c r="N35" i="79"/>
  <c r="U35" i="79" s="1"/>
  <c r="N36" i="79"/>
  <c r="U36" i="79" s="1"/>
  <c r="N13" i="79"/>
  <c r="U13" i="79" s="1"/>
  <c r="N25" i="79"/>
  <c r="U25" i="79" s="1"/>
  <c r="N17" i="79"/>
  <c r="U17" i="79" s="1"/>
  <c r="N30" i="79"/>
  <c r="U30" i="79" s="1"/>
  <c r="N23" i="79"/>
  <c r="U23" i="79" s="1"/>
  <c r="N32" i="79"/>
  <c r="U32" i="79" s="1"/>
  <c r="N24" i="79"/>
  <c r="U24" i="79" s="1"/>
  <c r="U8" i="79"/>
  <c r="U10" i="79"/>
  <c r="U11" i="79"/>
  <c r="U7" i="79"/>
  <c r="N18" i="79"/>
  <c r="U18" i="79" s="1"/>
  <c r="N21" i="79"/>
  <c r="U21" i="79" s="1"/>
  <c r="N22" i="79"/>
  <c r="U22" i="79" s="1"/>
  <c r="N28" i="79"/>
  <c r="U28" i="79" s="1"/>
  <c r="N29" i="79"/>
  <c r="U29" i="79" s="1"/>
  <c r="N34" i="79"/>
  <c r="U34" i="79" s="1"/>
  <c r="N27" i="79"/>
  <c r="U27" i="79" s="1"/>
  <c r="N14" i="82"/>
  <c r="U14" i="82" s="1"/>
  <c r="N35" i="82"/>
  <c r="U35" i="82" s="1"/>
  <c r="N36" i="82"/>
  <c r="U36" i="82" s="1"/>
  <c r="N13" i="82"/>
  <c r="U13" i="82" s="1"/>
  <c r="N25" i="82"/>
  <c r="U25" i="82" s="1"/>
  <c r="N17" i="82"/>
  <c r="U17" i="82" s="1"/>
  <c r="N30" i="82"/>
  <c r="U30" i="82" s="1"/>
  <c r="N23" i="82"/>
  <c r="U23" i="82" s="1"/>
  <c r="N32" i="82"/>
  <c r="U32" i="82" s="1"/>
  <c r="N24" i="82"/>
  <c r="U24" i="82" s="1"/>
  <c r="U8" i="82"/>
  <c r="U10" i="82"/>
  <c r="U11" i="82"/>
  <c r="U7" i="82"/>
  <c r="N18" i="82"/>
  <c r="U18" i="82" s="1"/>
  <c r="N21" i="82"/>
  <c r="U21" i="82" s="1"/>
  <c r="N22" i="82"/>
  <c r="U22" i="82" s="1"/>
  <c r="N28" i="82"/>
  <c r="U28" i="82" s="1"/>
  <c r="N29" i="82"/>
  <c r="U29" i="82" s="1"/>
  <c r="N34" i="82"/>
  <c r="U34" i="82" s="1"/>
  <c r="N27" i="82"/>
  <c r="U27" i="82" s="1"/>
  <c r="N34" i="84"/>
  <c r="U34" i="84" s="1"/>
  <c r="N36" i="84"/>
  <c r="U36" i="84" s="1"/>
  <c r="N27" i="84"/>
  <c r="U27" i="84" s="1"/>
  <c r="N17" i="84"/>
  <c r="U17" i="84" s="1"/>
  <c r="N32" i="84"/>
  <c r="U32" i="84" s="1"/>
  <c r="N24" i="84"/>
  <c r="U24" i="84" s="1"/>
  <c r="N14" i="84"/>
  <c r="U14" i="84" s="1"/>
  <c r="V56" i="84"/>
  <c r="N35" i="84"/>
  <c r="U35" i="84" s="1"/>
  <c r="N13" i="84"/>
  <c r="U13" i="84" s="1"/>
  <c r="V55" i="84"/>
  <c r="N25" i="84"/>
  <c r="U25" i="84" s="1"/>
  <c r="N30" i="84"/>
  <c r="U30" i="84" s="1"/>
  <c r="N23" i="84"/>
  <c r="U23" i="84" s="1"/>
  <c r="U8" i="84"/>
  <c r="U10" i="84"/>
  <c r="U11" i="84"/>
  <c r="V54" i="84"/>
  <c r="U7" i="84"/>
  <c r="S54" i="86"/>
  <c r="S54" i="87" s="1"/>
  <c r="N18" i="84"/>
  <c r="U18" i="84" s="1"/>
  <c r="N21" i="84"/>
  <c r="U21" i="84" s="1"/>
  <c r="N22" i="84"/>
  <c r="U22" i="84" s="1"/>
  <c r="V51" i="84"/>
  <c r="V49" i="84"/>
  <c r="V48" i="84"/>
  <c r="N28" i="84"/>
  <c r="U28" i="84" s="1"/>
  <c r="N29" i="84"/>
  <c r="U29" i="84" s="1"/>
  <c r="V44" i="84"/>
  <c r="S41" i="84"/>
  <c r="V56" i="85"/>
  <c r="V55" i="85"/>
  <c r="V54" i="85"/>
  <c r="V51" i="85"/>
  <c r="V49" i="85"/>
  <c r="V48" i="85"/>
  <c r="V44" i="85"/>
  <c r="S41" i="85"/>
  <c r="D40" i="86"/>
  <c r="D41" i="86"/>
  <c r="D42" i="86"/>
  <c r="D43" i="86"/>
  <c r="D44" i="86"/>
  <c r="D45" i="86"/>
  <c r="D46" i="86"/>
  <c r="D47" i="86"/>
  <c r="D48" i="86"/>
  <c r="D49" i="86"/>
  <c r="D50" i="86"/>
  <c r="D51" i="86"/>
  <c r="D52" i="86"/>
  <c r="D54" i="86"/>
  <c r="D55" i="86"/>
  <c r="D56" i="86"/>
  <c r="D57" i="86"/>
  <c r="D59" i="86"/>
  <c r="D61" i="86"/>
  <c r="D62" i="86"/>
  <c r="D63" i="86"/>
  <c r="D40" i="85"/>
  <c r="D41" i="85"/>
  <c r="D42" i="85"/>
  <c r="D43" i="85"/>
  <c r="D44" i="85"/>
  <c r="D45" i="85"/>
  <c r="D46" i="85"/>
  <c r="D47" i="85"/>
  <c r="D48" i="85"/>
  <c r="D49" i="85"/>
  <c r="D50" i="85"/>
  <c r="D51" i="85"/>
  <c r="D52" i="85"/>
  <c r="D54" i="85"/>
  <c r="D55" i="85"/>
  <c r="D56" i="85"/>
  <c r="D57" i="85"/>
  <c r="D59" i="85"/>
  <c r="D61" i="85"/>
  <c r="D62" i="85"/>
  <c r="D63" i="85"/>
  <c r="D40" i="84"/>
  <c r="D41" i="84"/>
  <c r="D42" i="84"/>
  <c r="D43" i="84"/>
  <c r="D44" i="84"/>
  <c r="D45" i="84"/>
  <c r="D46" i="84"/>
  <c r="D47" i="84"/>
  <c r="D48" i="84"/>
  <c r="D49" i="84"/>
  <c r="D50" i="84"/>
  <c r="D51" i="84"/>
  <c r="D52" i="84"/>
  <c r="D54" i="84"/>
  <c r="D55" i="84"/>
  <c r="D56" i="84"/>
  <c r="D57" i="84"/>
  <c r="D59" i="84"/>
  <c r="D61" i="84"/>
  <c r="D62" i="84"/>
  <c r="D63" i="84"/>
  <c r="D40" i="82"/>
  <c r="D41" i="82"/>
  <c r="D42" i="82"/>
  <c r="D43" i="82"/>
  <c r="D44" i="82"/>
  <c r="D45" i="82"/>
  <c r="D46" i="82"/>
  <c r="D47" i="82"/>
  <c r="D48" i="82"/>
  <c r="D49" i="82"/>
  <c r="D50" i="82"/>
  <c r="D51" i="82"/>
  <c r="D52" i="82"/>
  <c r="D54" i="82"/>
  <c r="D55" i="82"/>
  <c r="D56" i="82"/>
  <c r="D57" i="82"/>
  <c r="D59" i="82"/>
  <c r="D61" i="82"/>
  <c r="D62" i="82"/>
  <c r="D63" i="82"/>
  <c r="D40" i="79"/>
  <c r="D41" i="79"/>
  <c r="D42" i="79"/>
  <c r="D43" i="79"/>
  <c r="D44" i="79"/>
  <c r="D45" i="79"/>
  <c r="D46" i="79"/>
  <c r="D47" i="79"/>
  <c r="D48" i="79"/>
  <c r="D49" i="79"/>
  <c r="D50" i="79"/>
  <c r="D51" i="79"/>
  <c r="D52" i="79"/>
  <c r="D54" i="79"/>
  <c r="D55" i="79"/>
  <c r="D56" i="79"/>
  <c r="D57" i="79"/>
  <c r="D59" i="79"/>
  <c r="D61" i="79"/>
  <c r="D62" i="79"/>
  <c r="D63" i="79"/>
  <c r="D40" i="83"/>
  <c r="D41" i="83"/>
  <c r="D42" i="83"/>
  <c r="D43" i="83"/>
  <c r="D44" i="83"/>
  <c r="D45" i="83"/>
  <c r="D46" i="83"/>
  <c r="D47" i="83"/>
  <c r="D48" i="83"/>
  <c r="D49" i="83"/>
  <c r="D50" i="83"/>
  <c r="D51" i="83"/>
  <c r="D52" i="83"/>
  <c r="D54" i="83"/>
  <c r="D55" i="83"/>
  <c r="D56" i="83"/>
  <c r="D57" i="83"/>
  <c r="D59" i="83"/>
  <c r="D61" i="83"/>
  <c r="D62" i="83"/>
  <c r="D63" i="83"/>
  <c r="D40" i="81"/>
  <c r="D41" i="81"/>
  <c r="D42" i="81"/>
  <c r="D43" i="81"/>
  <c r="D44" i="81"/>
  <c r="D45" i="81"/>
  <c r="D46" i="81"/>
  <c r="D47" i="81"/>
  <c r="D48" i="81"/>
  <c r="D49" i="81"/>
  <c r="D50" i="81"/>
  <c r="D51" i="81"/>
  <c r="D52" i="81"/>
  <c r="D54" i="81"/>
  <c r="D55" i="81"/>
  <c r="D56" i="81"/>
  <c r="D57" i="81"/>
  <c r="D59" i="81"/>
  <c r="D61" i="81"/>
  <c r="D62" i="81"/>
  <c r="D63" i="81"/>
  <c r="D40" i="80"/>
  <c r="D41" i="80"/>
  <c r="D42" i="80"/>
  <c r="D43" i="80"/>
  <c r="D44" i="80"/>
  <c r="D45" i="80"/>
  <c r="D46" i="80"/>
  <c r="D47" i="80"/>
  <c r="D48" i="80"/>
  <c r="D49" i="80"/>
  <c r="D50" i="80"/>
  <c r="D51" i="80"/>
  <c r="D52" i="80"/>
  <c r="D54" i="80"/>
  <c r="D55" i="80"/>
  <c r="D56" i="80"/>
  <c r="D57" i="80"/>
  <c r="D59" i="80"/>
  <c r="D61" i="80"/>
  <c r="D62" i="80"/>
  <c r="D63" i="80"/>
  <c r="D40" i="78"/>
  <c r="D41" i="78"/>
  <c r="D42" i="78"/>
  <c r="D43" i="78"/>
  <c r="D44" i="78"/>
  <c r="D45" i="78"/>
  <c r="D46" i="78"/>
  <c r="D47" i="78"/>
  <c r="D48" i="78"/>
  <c r="D49" i="78"/>
  <c r="D50" i="78"/>
  <c r="D51" i="78"/>
  <c r="D52" i="78"/>
  <c r="D54" i="78"/>
  <c r="D55" i="78"/>
  <c r="D56" i="78"/>
  <c r="D57" i="78"/>
  <c r="D59" i="78"/>
  <c r="D61" i="78"/>
  <c r="D62" i="78"/>
  <c r="D63" i="78"/>
  <c r="D40" i="77"/>
  <c r="D41" i="77"/>
  <c r="D42" i="77"/>
  <c r="D43" i="77"/>
  <c r="D44" i="77"/>
  <c r="D45" i="77"/>
  <c r="D46" i="77"/>
  <c r="D47" i="77"/>
  <c r="D48" i="77"/>
  <c r="D49" i="77"/>
  <c r="D50" i="77"/>
  <c r="D51" i="77"/>
  <c r="D52" i="77"/>
  <c r="D54" i="77"/>
  <c r="D55" i="77"/>
  <c r="D56" i="77"/>
  <c r="D57" i="77"/>
  <c r="D59" i="77"/>
  <c r="D61" i="77"/>
  <c r="D62" i="77"/>
  <c r="D63" i="77"/>
  <c r="D40" i="75"/>
  <c r="D41" i="75"/>
  <c r="D42" i="75"/>
  <c r="D43" i="75"/>
  <c r="D44" i="75"/>
  <c r="D45" i="75"/>
  <c r="D46" i="75"/>
  <c r="D47" i="75"/>
  <c r="D48" i="75"/>
  <c r="D49" i="75"/>
  <c r="D50" i="75"/>
  <c r="D51" i="75"/>
  <c r="D52" i="75"/>
  <c r="D54" i="75"/>
  <c r="D55" i="75"/>
  <c r="D56" i="75"/>
  <c r="D57" i="75"/>
  <c r="D59" i="75"/>
  <c r="D61" i="75"/>
  <c r="D62" i="75"/>
  <c r="D63" i="75"/>
  <c r="D40" i="76"/>
  <c r="D41" i="76"/>
  <c r="D42" i="76"/>
  <c r="D43" i="76"/>
  <c r="D44" i="76"/>
  <c r="D45" i="76"/>
  <c r="D46" i="76"/>
  <c r="D47" i="76"/>
  <c r="D48" i="76"/>
  <c r="D49" i="76"/>
  <c r="D50" i="76"/>
  <c r="D51" i="76"/>
  <c r="D52" i="76"/>
  <c r="D54" i="76"/>
  <c r="D55" i="76"/>
  <c r="D56" i="76"/>
  <c r="D57" i="76"/>
  <c r="D59" i="76"/>
  <c r="D61" i="76"/>
  <c r="D62" i="76"/>
  <c r="D63" i="76"/>
  <c r="D40" i="74"/>
  <c r="D41" i="74"/>
  <c r="D42" i="74"/>
  <c r="D43" i="74"/>
  <c r="D44" i="74"/>
  <c r="D45" i="74"/>
  <c r="D46" i="74"/>
  <c r="D47" i="74"/>
  <c r="D48" i="74"/>
  <c r="D49" i="74"/>
  <c r="D50" i="74"/>
  <c r="D51" i="74"/>
  <c r="D52" i="74"/>
  <c r="D54" i="74"/>
  <c r="D55" i="74"/>
  <c r="D56" i="74"/>
  <c r="D57" i="74"/>
  <c r="D59" i="74"/>
  <c r="D61" i="74"/>
  <c r="D62" i="74"/>
  <c r="D63" i="74"/>
  <c r="D40" i="73"/>
  <c r="D41" i="73"/>
  <c r="D42" i="73"/>
  <c r="D43" i="73"/>
  <c r="D44" i="73"/>
  <c r="D45" i="73"/>
  <c r="D46" i="73"/>
  <c r="D47" i="73"/>
  <c r="D48" i="73"/>
  <c r="D49" i="73"/>
  <c r="D50" i="73"/>
  <c r="D51" i="73"/>
  <c r="D52" i="73"/>
  <c r="D54" i="73"/>
  <c r="D55" i="73"/>
  <c r="D56" i="73"/>
  <c r="D57" i="73"/>
  <c r="D59" i="73"/>
  <c r="D61" i="73"/>
  <c r="D62" i="73"/>
  <c r="D63" i="73"/>
  <c r="D40" i="72"/>
  <c r="D41" i="72"/>
  <c r="D42" i="72"/>
  <c r="D43" i="72"/>
  <c r="D44" i="72"/>
  <c r="D45" i="72"/>
  <c r="D46" i="72"/>
  <c r="D47" i="72"/>
  <c r="D48" i="72"/>
  <c r="D49" i="72"/>
  <c r="D50" i="72"/>
  <c r="D51" i="72"/>
  <c r="D52" i="72"/>
  <c r="D54" i="72"/>
  <c r="D55" i="72"/>
  <c r="D56" i="72"/>
  <c r="D57" i="72"/>
  <c r="D59" i="72"/>
  <c r="D61" i="72"/>
  <c r="D62" i="72"/>
  <c r="D63" i="72"/>
  <c r="D40" i="71"/>
  <c r="D41" i="71"/>
  <c r="D42" i="71"/>
  <c r="D43" i="71"/>
  <c r="D44" i="71"/>
  <c r="D45" i="71"/>
  <c r="D46" i="71"/>
  <c r="D47" i="71"/>
  <c r="D48" i="71"/>
  <c r="D49" i="71"/>
  <c r="D50" i="71"/>
  <c r="D51" i="71"/>
  <c r="D52" i="71"/>
  <c r="D54" i="71"/>
  <c r="D55" i="71"/>
  <c r="D56" i="71"/>
  <c r="D57" i="71"/>
  <c r="D59" i="71"/>
  <c r="D61" i="71"/>
  <c r="D62" i="71"/>
  <c r="D63" i="71"/>
  <c r="D40" i="68"/>
  <c r="D41" i="68"/>
  <c r="D42" i="68"/>
  <c r="D43" i="68"/>
  <c r="D44" i="68"/>
  <c r="D45" i="68"/>
  <c r="D46" i="68"/>
  <c r="D47" i="68"/>
  <c r="D48" i="68"/>
  <c r="D49" i="68"/>
  <c r="D50" i="68"/>
  <c r="D51" i="68"/>
  <c r="D52" i="68"/>
  <c r="D54" i="68"/>
  <c r="D55" i="68"/>
  <c r="D56" i="68"/>
  <c r="D57" i="68"/>
  <c r="D59" i="68"/>
  <c r="D61" i="68"/>
  <c r="D62" i="68"/>
  <c r="D63" i="68"/>
  <c r="D40" i="70"/>
  <c r="D41" i="70"/>
  <c r="D42" i="70"/>
  <c r="D43" i="70"/>
  <c r="D44" i="70"/>
  <c r="D45" i="70"/>
  <c r="D46" i="70"/>
  <c r="D47" i="70"/>
  <c r="D48" i="70"/>
  <c r="D49" i="70"/>
  <c r="D50" i="70"/>
  <c r="D51" i="70"/>
  <c r="D52" i="70"/>
  <c r="D54" i="70"/>
  <c r="D55" i="70"/>
  <c r="D56" i="70"/>
  <c r="D57" i="70"/>
  <c r="D59" i="70"/>
  <c r="D61" i="70"/>
  <c r="D62" i="70"/>
  <c r="D63" i="70"/>
  <c r="D40" i="69"/>
  <c r="D41" i="69"/>
  <c r="D42" i="69"/>
  <c r="D43" i="69"/>
  <c r="D44" i="69"/>
  <c r="D45" i="69"/>
  <c r="D46" i="69"/>
  <c r="D47" i="69"/>
  <c r="D48" i="69"/>
  <c r="D49" i="69"/>
  <c r="D50" i="69"/>
  <c r="D51" i="69"/>
  <c r="D52" i="69"/>
  <c r="D54" i="69"/>
  <c r="D55" i="69"/>
  <c r="D56" i="69"/>
  <c r="D57" i="69"/>
  <c r="D59" i="69"/>
  <c r="D61" i="69"/>
  <c r="D62" i="69"/>
  <c r="D63" i="69"/>
  <c r="D40" i="21"/>
  <c r="D41" i="21"/>
  <c r="D42" i="21"/>
  <c r="D43" i="21"/>
  <c r="D44" i="21"/>
  <c r="D45" i="21"/>
  <c r="D46" i="21"/>
  <c r="D47" i="21"/>
  <c r="D48" i="21"/>
  <c r="D49" i="21"/>
  <c r="D50" i="21"/>
  <c r="D51" i="21"/>
  <c r="D52" i="21"/>
  <c r="D54" i="21"/>
  <c r="D55" i="21"/>
  <c r="D56" i="21"/>
  <c r="D57" i="21"/>
  <c r="D59" i="21"/>
  <c r="D61" i="21"/>
  <c r="D62" i="21"/>
  <c r="D63" i="21"/>
  <c r="E40" i="86"/>
  <c r="E41" i="86"/>
  <c r="E42" i="86"/>
  <c r="E43" i="86"/>
  <c r="E44" i="86"/>
  <c r="E45" i="86"/>
  <c r="E46" i="86"/>
  <c r="E47" i="86"/>
  <c r="E48" i="86"/>
  <c r="E49" i="86"/>
  <c r="E50" i="86"/>
  <c r="E51" i="86"/>
  <c r="E52" i="86"/>
  <c r="E54" i="86"/>
  <c r="E55" i="86"/>
  <c r="E56" i="86"/>
  <c r="E57" i="86"/>
  <c r="E59" i="86"/>
  <c r="E61" i="86"/>
  <c r="E62" i="86"/>
  <c r="E63" i="86"/>
  <c r="F40" i="86"/>
  <c r="F41" i="86"/>
  <c r="F42" i="86"/>
  <c r="F43" i="86"/>
  <c r="F44" i="86"/>
  <c r="F45" i="86"/>
  <c r="F46" i="86"/>
  <c r="F47" i="86"/>
  <c r="F48" i="86"/>
  <c r="F49" i="86"/>
  <c r="F50" i="86"/>
  <c r="F51" i="86"/>
  <c r="F52" i="86"/>
  <c r="F54" i="86"/>
  <c r="F55" i="86"/>
  <c r="F56" i="86"/>
  <c r="F57" i="86"/>
  <c r="F59" i="86"/>
  <c r="F61" i="86"/>
  <c r="F62" i="86"/>
  <c r="F63" i="86"/>
  <c r="G40" i="86"/>
  <c r="G41" i="86"/>
  <c r="G42" i="86"/>
  <c r="G43" i="86"/>
  <c r="G44" i="86"/>
  <c r="G45" i="86"/>
  <c r="G46" i="86"/>
  <c r="G47" i="86"/>
  <c r="G48" i="86"/>
  <c r="G49" i="86"/>
  <c r="G50" i="86"/>
  <c r="G51" i="86"/>
  <c r="G52" i="86"/>
  <c r="G54" i="86"/>
  <c r="G55" i="86"/>
  <c r="G56" i="86"/>
  <c r="G57" i="86"/>
  <c r="G59" i="86"/>
  <c r="G61" i="86"/>
  <c r="G62" i="86"/>
  <c r="G63" i="86"/>
  <c r="K13" i="86"/>
  <c r="L13" i="86" s="1"/>
  <c r="E40" i="85"/>
  <c r="E41" i="85"/>
  <c r="E42" i="85"/>
  <c r="E43" i="85"/>
  <c r="E44" i="85"/>
  <c r="E45" i="85"/>
  <c r="E46" i="85"/>
  <c r="E47" i="85"/>
  <c r="E48" i="85"/>
  <c r="E49" i="85"/>
  <c r="E50" i="85"/>
  <c r="E51" i="85"/>
  <c r="E52" i="85"/>
  <c r="E54" i="85"/>
  <c r="E55" i="85"/>
  <c r="E56" i="85"/>
  <c r="E57" i="85"/>
  <c r="E59" i="85"/>
  <c r="E61" i="85"/>
  <c r="E62" i="85"/>
  <c r="E63" i="85"/>
  <c r="F40" i="85"/>
  <c r="F41" i="85"/>
  <c r="F42" i="85"/>
  <c r="F43" i="85"/>
  <c r="F44" i="85"/>
  <c r="F45" i="85"/>
  <c r="F46" i="85"/>
  <c r="F47" i="85"/>
  <c r="F48" i="85"/>
  <c r="F49" i="85"/>
  <c r="F50" i="85"/>
  <c r="F51" i="85"/>
  <c r="F52" i="85"/>
  <c r="F54" i="85"/>
  <c r="F55" i="85"/>
  <c r="F56" i="85"/>
  <c r="F57" i="85"/>
  <c r="F59" i="85"/>
  <c r="F61" i="85"/>
  <c r="F62" i="85"/>
  <c r="F63" i="85"/>
  <c r="G40" i="85"/>
  <c r="G41" i="85"/>
  <c r="G42" i="85"/>
  <c r="G43" i="85"/>
  <c r="G44" i="85"/>
  <c r="G45" i="85"/>
  <c r="G46" i="85"/>
  <c r="G47" i="85"/>
  <c r="G48" i="85"/>
  <c r="G49" i="85"/>
  <c r="G50" i="85"/>
  <c r="G51" i="85"/>
  <c r="G52" i="85"/>
  <c r="G54" i="85"/>
  <c r="G55" i="85"/>
  <c r="G56" i="85"/>
  <c r="G57" i="85"/>
  <c r="G59" i="85"/>
  <c r="G61" i="85"/>
  <c r="G62" i="85"/>
  <c r="G63" i="85"/>
  <c r="K13" i="85"/>
  <c r="L13" i="85" s="1"/>
  <c r="H40" i="85" s="1"/>
  <c r="E40" i="84"/>
  <c r="E41" i="84"/>
  <c r="E42" i="84"/>
  <c r="E43" i="84"/>
  <c r="E44" i="84"/>
  <c r="E45" i="84"/>
  <c r="E46" i="84"/>
  <c r="E47" i="84"/>
  <c r="E48" i="84"/>
  <c r="E49" i="84"/>
  <c r="E50" i="84"/>
  <c r="E51" i="84"/>
  <c r="E52" i="84"/>
  <c r="E54" i="84"/>
  <c r="E55" i="84"/>
  <c r="E56" i="84"/>
  <c r="E57" i="84"/>
  <c r="E59" i="84"/>
  <c r="E61" i="84"/>
  <c r="E62" i="84"/>
  <c r="E63" i="84"/>
  <c r="F40" i="84"/>
  <c r="F41" i="84"/>
  <c r="F42" i="84"/>
  <c r="F43" i="84"/>
  <c r="F44" i="84"/>
  <c r="F45" i="84"/>
  <c r="F46" i="84"/>
  <c r="F47" i="84"/>
  <c r="F48" i="84"/>
  <c r="F49" i="84"/>
  <c r="F50" i="84"/>
  <c r="F51" i="84"/>
  <c r="F52" i="84"/>
  <c r="F54" i="84"/>
  <c r="F55" i="84"/>
  <c r="F56" i="84"/>
  <c r="F57" i="84"/>
  <c r="F59" i="84"/>
  <c r="F61" i="84"/>
  <c r="F62" i="84"/>
  <c r="F63" i="84"/>
  <c r="G40" i="84"/>
  <c r="G41" i="84"/>
  <c r="G42" i="84"/>
  <c r="G43" i="84"/>
  <c r="G44" i="84"/>
  <c r="G45" i="84"/>
  <c r="G46" i="84"/>
  <c r="G47" i="84"/>
  <c r="G48" i="84"/>
  <c r="G49" i="84"/>
  <c r="G50" i="84"/>
  <c r="G51" i="84"/>
  <c r="G52" i="84"/>
  <c r="G54" i="84"/>
  <c r="G55" i="84"/>
  <c r="G56" i="84"/>
  <c r="G57" i="84"/>
  <c r="G59" i="84"/>
  <c r="G61" i="84"/>
  <c r="G62" i="84"/>
  <c r="G63" i="84"/>
  <c r="K13" i="84"/>
  <c r="L13" i="84" s="1"/>
  <c r="H40" i="84" s="1"/>
  <c r="E40" i="82"/>
  <c r="E41" i="82"/>
  <c r="E42" i="82"/>
  <c r="E43" i="82"/>
  <c r="E44" i="82"/>
  <c r="E45" i="82"/>
  <c r="E46" i="82"/>
  <c r="E47" i="82"/>
  <c r="E48" i="82"/>
  <c r="E49" i="82"/>
  <c r="E50" i="82"/>
  <c r="E51" i="82"/>
  <c r="E52" i="82"/>
  <c r="E54" i="82"/>
  <c r="E55" i="82"/>
  <c r="E56" i="82"/>
  <c r="E57" i="82"/>
  <c r="E59" i="82"/>
  <c r="E61" i="82"/>
  <c r="E62" i="82"/>
  <c r="E63" i="82"/>
  <c r="F40" i="82"/>
  <c r="F41" i="82"/>
  <c r="F42" i="82"/>
  <c r="F43" i="82"/>
  <c r="F44" i="82"/>
  <c r="F45" i="82"/>
  <c r="F46" i="82"/>
  <c r="F47" i="82"/>
  <c r="F48" i="82"/>
  <c r="F49" i="82"/>
  <c r="F50" i="82"/>
  <c r="F51" i="82"/>
  <c r="F52" i="82"/>
  <c r="F54" i="82"/>
  <c r="F55" i="82"/>
  <c r="F56" i="82"/>
  <c r="F57" i="82"/>
  <c r="F59" i="82"/>
  <c r="F61" i="82"/>
  <c r="F62" i="82"/>
  <c r="F63" i="82"/>
  <c r="G40" i="82"/>
  <c r="G41" i="82"/>
  <c r="G42" i="82"/>
  <c r="G43" i="82"/>
  <c r="G44" i="82"/>
  <c r="G45" i="82"/>
  <c r="G46" i="82"/>
  <c r="G47" i="82"/>
  <c r="G48" i="82"/>
  <c r="G49" i="82"/>
  <c r="G50" i="82"/>
  <c r="G51" i="82"/>
  <c r="G52" i="82"/>
  <c r="G54" i="82"/>
  <c r="G55" i="82"/>
  <c r="G56" i="82"/>
  <c r="G57" i="82"/>
  <c r="G59" i="82"/>
  <c r="G61" i="82"/>
  <c r="G62" i="82"/>
  <c r="G63" i="82"/>
  <c r="K13" i="82"/>
  <c r="L13" i="82" s="1"/>
  <c r="H40" i="82" s="1"/>
  <c r="E40" i="79"/>
  <c r="E41" i="79"/>
  <c r="E42" i="79"/>
  <c r="E43" i="79"/>
  <c r="E44" i="79"/>
  <c r="E45" i="79"/>
  <c r="E46" i="79"/>
  <c r="E47" i="79"/>
  <c r="E48" i="79"/>
  <c r="E49" i="79"/>
  <c r="E50" i="79"/>
  <c r="E51" i="79"/>
  <c r="E52" i="79"/>
  <c r="E54" i="79"/>
  <c r="E55" i="79"/>
  <c r="E56" i="79"/>
  <c r="E57" i="79"/>
  <c r="E59" i="79"/>
  <c r="E61" i="79"/>
  <c r="E62" i="79"/>
  <c r="E63" i="79"/>
  <c r="F40" i="79"/>
  <c r="F41" i="79"/>
  <c r="F42" i="79"/>
  <c r="F43" i="79"/>
  <c r="F44" i="79"/>
  <c r="F45" i="79"/>
  <c r="F46" i="79"/>
  <c r="F47" i="79"/>
  <c r="F48" i="79"/>
  <c r="F49" i="79"/>
  <c r="F50" i="79"/>
  <c r="F51" i="79"/>
  <c r="F52" i="79"/>
  <c r="F54" i="79"/>
  <c r="F55" i="79"/>
  <c r="F56" i="79"/>
  <c r="F57" i="79"/>
  <c r="F59" i="79"/>
  <c r="F61" i="79"/>
  <c r="F62" i="79"/>
  <c r="F63" i="79"/>
  <c r="G40" i="79"/>
  <c r="G41" i="79"/>
  <c r="G42" i="79"/>
  <c r="G43" i="79"/>
  <c r="G44" i="79"/>
  <c r="G45" i="79"/>
  <c r="G46" i="79"/>
  <c r="G47" i="79"/>
  <c r="G48" i="79"/>
  <c r="G49" i="79"/>
  <c r="G50" i="79"/>
  <c r="G51" i="79"/>
  <c r="G52" i="79"/>
  <c r="G54" i="79"/>
  <c r="G55" i="79"/>
  <c r="G56" i="79"/>
  <c r="G57" i="79"/>
  <c r="G59" i="79"/>
  <c r="G61" i="79"/>
  <c r="G62" i="79"/>
  <c r="G63" i="79"/>
  <c r="K13" i="79"/>
  <c r="L13" i="79" s="1"/>
  <c r="H40" i="79" s="1"/>
  <c r="E40" i="83"/>
  <c r="E41" i="83"/>
  <c r="E42" i="83"/>
  <c r="E43" i="83"/>
  <c r="E44" i="83"/>
  <c r="E45" i="83"/>
  <c r="E46" i="83"/>
  <c r="E47" i="83"/>
  <c r="E48" i="83"/>
  <c r="E49" i="83"/>
  <c r="E50" i="83"/>
  <c r="E51" i="83"/>
  <c r="E52" i="83"/>
  <c r="E54" i="83"/>
  <c r="E55" i="83"/>
  <c r="E56" i="83"/>
  <c r="E57" i="83"/>
  <c r="E59" i="83"/>
  <c r="E61" i="83"/>
  <c r="E62" i="83"/>
  <c r="E63" i="83"/>
  <c r="F40" i="83"/>
  <c r="F41" i="83"/>
  <c r="F42" i="83"/>
  <c r="F43" i="83"/>
  <c r="F44" i="83"/>
  <c r="F45" i="83"/>
  <c r="F46" i="83"/>
  <c r="F47" i="83"/>
  <c r="F48" i="83"/>
  <c r="F49" i="83"/>
  <c r="F50" i="83"/>
  <c r="F51" i="83"/>
  <c r="F52" i="83"/>
  <c r="F54" i="83"/>
  <c r="F55" i="83"/>
  <c r="F56" i="83"/>
  <c r="F57" i="83"/>
  <c r="F59" i="83"/>
  <c r="F61" i="83"/>
  <c r="F62" i="83"/>
  <c r="F63" i="83"/>
  <c r="G40" i="83"/>
  <c r="G41" i="83"/>
  <c r="G42" i="83"/>
  <c r="G43" i="83"/>
  <c r="G44" i="83"/>
  <c r="G45" i="83"/>
  <c r="G46" i="83"/>
  <c r="G47" i="83"/>
  <c r="G48" i="83"/>
  <c r="G49" i="83"/>
  <c r="G50" i="83"/>
  <c r="G51" i="83"/>
  <c r="G52" i="83"/>
  <c r="G54" i="83"/>
  <c r="G55" i="83"/>
  <c r="G56" i="83"/>
  <c r="G57" i="83"/>
  <c r="G59" i="83"/>
  <c r="G61" i="83"/>
  <c r="G62" i="83"/>
  <c r="G63" i="83"/>
  <c r="K13" i="83"/>
  <c r="L13" i="83" s="1"/>
  <c r="E40" i="81"/>
  <c r="E41" i="81"/>
  <c r="E42" i="81"/>
  <c r="E43" i="81"/>
  <c r="E44" i="81"/>
  <c r="E45" i="81"/>
  <c r="E46" i="81"/>
  <c r="E47" i="81"/>
  <c r="E48" i="81"/>
  <c r="E49" i="81"/>
  <c r="E50" i="81"/>
  <c r="E51" i="81"/>
  <c r="E52" i="81"/>
  <c r="E54" i="81"/>
  <c r="E55" i="81"/>
  <c r="E56" i="81"/>
  <c r="E57" i="81"/>
  <c r="E59" i="81"/>
  <c r="E61" i="81"/>
  <c r="E62" i="81"/>
  <c r="E63" i="81"/>
  <c r="F40" i="81"/>
  <c r="F41" i="81"/>
  <c r="F42" i="81"/>
  <c r="F43" i="81"/>
  <c r="F44" i="81"/>
  <c r="F45" i="81"/>
  <c r="F46" i="81"/>
  <c r="F47" i="81"/>
  <c r="F48" i="81"/>
  <c r="F49" i="81"/>
  <c r="F50" i="81"/>
  <c r="F51" i="81"/>
  <c r="F52" i="81"/>
  <c r="F54" i="81"/>
  <c r="F55" i="81"/>
  <c r="F56" i="81"/>
  <c r="F57" i="81"/>
  <c r="F59" i="81"/>
  <c r="F61" i="81"/>
  <c r="F62" i="81"/>
  <c r="F63" i="81"/>
  <c r="G40" i="81"/>
  <c r="G41" i="81"/>
  <c r="G42" i="81"/>
  <c r="G43" i="81"/>
  <c r="G44" i="81"/>
  <c r="G45" i="81"/>
  <c r="G46" i="81"/>
  <c r="G47" i="81"/>
  <c r="G48" i="81"/>
  <c r="G49" i="81"/>
  <c r="G50" i="81"/>
  <c r="G51" i="81"/>
  <c r="G52" i="81"/>
  <c r="G54" i="81"/>
  <c r="G55" i="81"/>
  <c r="G56" i="81"/>
  <c r="G57" i="81"/>
  <c r="G59" i="81"/>
  <c r="G61" i="81"/>
  <c r="G62" i="81"/>
  <c r="G63" i="81"/>
  <c r="K13" i="81"/>
  <c r="L13" i="81" s="1"/>
  <c r="E40" i="80"/>
  <c r="E41" i="80"/>
  <c r="E42" i="80"/>
  <c r="E43" i="80"/>
  <c r="E44" i="80"/>
  <c r="E45" i="80"/>
  <c r="E46" i="80"/>
  <c r="E47" i="80"/>
  <c r="E48" i="80"/>
  <c r="E49" i="80"/>
  <c r="E50" i="80"/>
  <c r="E51" i="80"/>
  <c r="E52" i="80"/>
  <c r="E54" i="80"/>
  <c r="E55" i="80"/>
  <c r="E56" i="80"/>
  <c r="E57" i="80"/>
  <c r="E59" i="80"/>
  <c r="E61" i="80"/>
  <c r="E62" i="80"/>
  <c r="E63" i="80"/>
  <c r="F40" i="80"/>
  <c r="F41" i="80"/>
  <c r="F42" i="80"/>
  <c r="F43" i="80"/>
  <c r="F44" i="80"/>
  <c r="F45" i="80"/>
  <c r="F46" i="80"/>
  <c r="F47" i="80"/>
  <c r="F48" i="80"/>
  <c r="F49" i="80"/>
  <c r="F50" i="80"/>
  <c r="F51" i="80"/>
  <c r="F52" i="80"/>
  <c r="F54" i="80"/>
  <c r="F55" i="80"/>
  <c r="F56" i="80"/>
  <c r="F57" i="80"/>
  <c r="F59" i="80"/>
  <c r="F61" i="80"/>
  <c r="F62" i="80"/>
  <c r="F63" i="80"/>
  <c r="G40" i="80"/>
  <c r="G41" i="80"/>
  <c r="G42" i="80"/>
  <c r="G43" i="80"/>
  <c r="G44" i="80"/>
  <c r="G45" i="80"/>
  <c r="G46" i="80"/>
  <c r="G47" i="80"/>
  <c r="G48" i="80"/>
  <c r="G49" i="80"/>
  <c r="G50" i="80"/>
  <c r="G51" i="80"/>
  <c r="G52" i="80"/>
  <c r="G54" i="80"/>
  <c r="G55" i="80"/>
  <c r="G56" i="80"/>
  <c r="G57" i="80"/>
  <c r="G59" i="80"/>
  <c r="G61" i="80"/>
  <c r="G62" i="80"/>
  <c r="G63" i="80"/>
  <c r="K13" i="80"/>
  <c r="L13" i="80" s="1"/>
  <c r="H40" i="80" s="1"/>
  <c r="E40" i="78"/>
  <c r="E41" i="78"/>
  <c r="E42" i="78"/>
  <c r="E43" i="78"/>
  <c r="E44" i="78"/>
  <c r="E45" i="78"/>
  <c r="E46" i="78"/>
  <c r="E47" i="78"/>
  <c r="E48" i="78"/>
  <c r="E49" i="78"/>
  <c r="E50" i="78"/>
  <c r="E51" i="78"/>
  <c r="E52" i="78"/>
  <c r="E54" i="78"/>
  <c r="E55" i="78"/>
  <c r="E56" i="78"/>
  <c r="E57" i="78"/>
  <c r="E59" i="78"/>
  <c r="E61" i="78"/>
  <c r="E62" i="78"/>
  <c r="E63" i="78"/>
  <c r="F40" i="78"/>
  <c r="F41" i="78"/>
  <c r="F42" i="78"/>
  <c r="F43" i="78"/>
  <c r="F44" i="78"/>
  <c r="F45" i="78"/>
  <c r="F46" i="78"/>
  <c r="F47" i="78"/>
  <c r="F48" i="78"/>
  <c r="F49" i="78"/>
  <c r="F50" i="78"/>
  <c r="F51" i="78"/>
  <c r="F52" i="78"/>
  <c r="F54" i="78"/>
  <c r="F55" i="78"/>
  <c r="F56" i="78"/>
  <c r="F57" i="78"/>
  <c r="F59" i="78"/>
  <c r="F61" i="78"/>
  <c r="F62" i="78"/>
  <c r="F63" i="78"/>
  <c r="G40" i="78"/>
  <c r="G41" i="78"/>
  <c r="G42" i="78"/>
  <c r="G43" i="78"/>
  <c r="G44" i="78"/>
  <c r="G45" i="78"/>
  <c r="G46" i="78"/>
  <c r="G47" i="78"/>
  <c r="G48" i="78"/>
  <c r="G49" i="78"/>
  <c r="G50" i="78"/>
  <c r="G51" i="78"/>
  <c r="G52" i="78"/>
  <c r="G54" i="78"/>
  <c r="G55" i="78"/>
  <c r="G56" i="78"/>
  <c r="G57" i="78"/>
  <c r="G59" i="78"/>
  <c r="G61" i="78"/>
  <c r="G62" i="78"/>
  <c r="G63" i="78"/>
  <c r="K13" i="78"/>
  <c r="L13" i="78" s="1"/>
  <c r="H40" i="78" s="1"/>
  <c r="E40" i="77"/>
  <c r="E41" i="77"/>
  <c r="E42" i="77"/>
  <c r="E43" i="77"/>
  <c r="E44" i="77"/>
  <c r="E45" i="77"/>
  <c r="E46" i="77"/>
  <c r="E47" i="77"/>
  <c r="E48" i="77"/>
  <c r="E49" i="77"/>
  <c r="E50" i="77"/>
  <c r="E51" i="77"/>
  <c r="E52" i="77"/>
  <c r="E54" i="77"/>
  <c r="E55" i="77"/>
  <c r="E56" i="77"/>
  <c r="E57" i="77"/>
  <c r="E59" i="77"/>
  <c r="E61" i="77"/>
  <c r="E62" i="77"/>
  <c r="E63" i="77"/>
  <c r="F40" i="77"/>
  <c r="F41" i="77"/>
  <c r="F42" i="77"/>
  <c r="F43" i="77"/>
  <c r="F44" i="77"/>
  <c r="F45" i="77"/>
  <c r="F46" i="77"/>
  <c r="F47" i="77"/>
  <c r="F48" i="77"/>
  <c r="F49" i="77"/>
  <c r="F50" i="77"/>
  <c r="F51" i="77"/>
  <c r="F52" i="77"/>
  <c r="F54" i="77"/>
  <c r="F55" i="77"/>
  <c r="F56" i="77"/>
  <c r="F57" i="77"/>
  <c r="F59" i="77"/>
  <c r="F61" i="77"/>
  <c r="F62" i="77"/>
  <c r="F63" i="77"/>
  <c r="G40" i="77"/>
  <c r="G41" i="77"/>
  <c r="G42" i="77"/>
  <c r="G43" i="77"/>
  <c r="G44" i="77"/>
  <c r="G45" i="77"/>
  <c r="G46" i="77"/>
  <c r="G47" i="77"/>
  <c r="G48" i="77"/>
  <c r="G49" i="77"/>
  <c r="G50" i="77"/>
  <c r="G51" i="77"/>
  <c r="G52" i="77"/>
  <c r="G54" i="77"/>
  <c r="G55" i="77"/>
  <c r="G56" i="77"/>
  <c r="G57" i="77"/>
  <c r="G59" i="77"/>
  <c r="G61" i="77"/>
  <c r="G62" i="77"/>
  <c r="G63" i="77"/>
  <c r="K13" i="77"/>
  <c r="L13" i="77" s="1"/>
  <c r="E40" i="75"/>
  <c r="E41" i="75"/>
  <c r="E42" i="75"/>
  <c r="E43" i="75"/>
  <c r="E44" i="75"/>
  <c r="E45" i="75"/>
  <c r="E46" i="75"/>
  <c r="E47" i="75"/>
  <c r="E48" i="75"/>
  <c r="E49" i="75"/>
  <c r="E50" i="75"/>
  <c r="E51" i="75"/>
  <c r="E52" i="75"/>
  <c r="E54" i="75"/>
  <c r="E55" i="75"/>
  <c r="E56" i="75"/>
  <c r="E57" i="75"/>
  <c r="E59" i="75"/>
  <c r="E61" i="75"/>
  <c r="E62" i="75"/>
  <c r="E63" i="75"/>
  <c r="F40" i="75"/>
  <c r="F41" i="75"/>
  <c r="F42" i="75"/>
  <c r="F43" i="75"/>
  <c r="F44" i="75"/>
  <c r="F45" i="75"/>
  <c r="F46" i="75"/>
  <c r="F47" i="75"/>
  <c r="F48" i="75"/>
  <c r="F49" i="75"/>
  <c r="F50" i="75"/>
  <c r="F51" i="75"/>
  <c r="F52" i="75"/>
  <c r="F54" i="75"/>
  <c r="F55" i="75"/>
  <c r="F56" i="75"/>
  <c r="F57" i="75"/>
  <c r="F59" i="75"/>
  <c r="F61" i="75"/>
  <c r="F62" i="75"/>
  <c r="F63" i="75"/>
  <c r="G40" i="75"/>
  <c r="G41" i="75"/>
  <c r="G42" i="75"/>
  <c r="G43" i="75"/>
  <c r="G44" i="75"/>
  <c r="G45" i="75"/>
  <c r="G46" i="75"/>
  <c r="G47" i="75"/>
  <c r="G48" i="75"/>
  <c r="G49" i="75"/>
  <c r="G50" i="75"/>
  <c r="G51" i="75"/>
  <c r="G52" i="75"/>
  <c r="G54" i="75"/>
  <c r="G55" i="75"/>
  <c r="G56" i="75"/>
  <c r="G57" i="75"/>
  <c r="G59" i="75"/>
  <c r="G61" i="75"/>
  <c r="G62" i="75"/>
  <c r="G63" i="75"/>
  <c r="K13" i="75"/>
  <c r="L13" i="75" s="1"/>
  <c r="E40" i="76"/>
  <c r="E41" i="76"/>
  <c r="E42" i="76"/>
  <c r="E43" i="76"/>
  <c r="E44" i="76"/>
  <c r="E45" i="76"/>
  <c r="E46" i="76"/>
  <c r="E47" i="76"/>
  <c r="E48" i="76"/>
  <c r="E49" i="76"/>
  <c r="E50" i="76"/>
  <c r="E51" i="76"/>
  <c r="E52" i="76"/>
  <c r="E54" i="76"/>
  <c r="E55" i="76"/>
  <c r="E56" i="76"/>
  <c r="E57" i="76"/>
  <c r="E59" i="76"/>
  <c r="E61" i="76"/>
  <c r="E62" i="76"/>
  <c r="E63" i="76"/>
  <c r="F40" i="76"/>
  <c r="F41" i="76"/>
  <c r="F42" i="76"/>
  <c r="F43" i="76"/>
  <c r="F44" i="76"/>
  <c r="F45" i="76"/>
  <c r="F46" i="76"/>
  <c r="F47" i="76"/>
  <c r="F48" i="76"/>
  <c r="F49" i="76"/>
  <c r="F50" i="76"/>
  <c r="F51" i="76"/>
  <c r="F52" i="76"/>
  <c r="F54" i="76"/>
  <c r="F55" i="76"/>
  <c r="F56" i="76"/>
  <c r="F57" i="76"/>
  <c r="F59" i="76"/>
  <c r="F61" i="76"/>
  <c r="F62" i="76"/>
  <c r="F63" i="76"/>
  <c r="G40" i="76"/>
  <c r="G41" i="76"/>
  <c r="G42" i="76"/>
  <c r="G43" i="76"/>
  <c r="G44" i="76"/>
  <c r="G45" i="76"/>
  <c r="G46" i="76"/>
  <c r="G47" i="76"/>
  <c r="G48" i="76"/>
  <c r="G49" i="76"/>
  <c r="G50" i="76"/>
  <c r="G51" i="76"/>
  <c r="G52" i="76"/>
  <c r="G54" i="76"/>
  <c r="G55" i="76"/>
  <c r="G56" i="76"/>
  <c r="G57" i="76"/>
  <c r="G59" i="76"/>
  <c r="G61" i="76"/>
  <c r="G62" i="76"/>
  <c r="G63" i="76"/>
  <c r="K13" i="76"/>
  <c r="L13" i="76" s="1"/>
  <c r="H40" i="76" s="1"/>
  <c r="E40" i="74"/>
  <c r="E41" i="74"/>
  <c r="E42" i="74"/>
  <c r="E43" i="74"/>
  <c r="E44" i="74"/>
  <c r="E45" i="74"/>
  <c r="E46" i="74"/>
  <c r="E47" i="74"/>
  <c r="E48" i="74"/>
  <c r="E49" i="74"/>
  <c r="E50" i="74"/>
  <c r="E51" i="74"/>
  <c r="E52" i="74"/>
  <c r="E54" i="74"/>
  <c r="E55" i="74"/>
  <c r="E56" i="74"/>
  <c r="E57" i="74"/>
  <c r="E59" i="74"/>
  <c r="E61" i="74"/>
  <c r="E62" i="74"/>
  <c r="E63" i="74"/>
  <c r="F40" i="74"/>
  <c r="F41" i="74"/>
  <c r="F42" i="74"/>
  <c r="F43" i="74"/>
  <c r="F44" i="74"/>
  <c r="F45" i="74"/>
  <c r="F46" i="74"/>
  <c r="F47" i="74"/>
  <c r="F48" i="74"/>
  <c r="F49" i="74"/>
  <c r="F50" i="74"/>
  <c r="F51" i="74"/>
  <c r="F52" i="74"/>
  <c r="F54" i="74"/>
  <c r="F55" i="74"/>
  <c r="F56" i="74"/>
  <c r="F57" i="74"/>
  <c r="F59" i="74"/>
  <c r="F61" i="74"/>
  <c r="F62" i="74"/>
  <c r="F63" i="74"/>
  <c r="G40" i="74"/>
  <c r="G41" i="74"/>
  <c r="G42" i="74"/>
  <c r="G43" i="74"/>
  <c r="G44" i="74"/>
  <c r="G45" i="74"/>
  <c r="G46" i="74"/>
  <c r="G47" i="74"/>
  <c r="G48" i="74"/>
  <c r="G49" i="74"/>
  <c r="G50" i="74"/>
  <c r="G51" i="74"/>
  <c r="G52" i="74"/>
  <c r="G54" i="74"/>
  <c r="G55" i="74"/>
  <c r="G56" i="74"/>
  <c r="G57" i="74"/>
  <c r="G59" i="74"/>
  <c r="G61" i="74"/>
  <c r="G62" i="74"/>
  <c r="G63" i="74"/>
  <c r="K13" i="74"/>
  <c r="L13" i="74" s="1"/>
  <c r="H40" i="74" s="1"/>
  <c r="E40" i="73"/>
  <c r="E41" i="73"/>
  <c r="E42" i="73"/>
  <c r="E43" i="73"/>
  <c r="E44" i="73"/>
  <c r="E45" i="73"/>
  <c r="E46" i="73"/>
  <c r="E47" i="73"/>
  <c r="E48" i="73"/>
  <c r="E49" i="73"/>
  <c r="E50" i="73"/>
  <c r="E51" i="73"/>
  <c r="E52" i="73"/>
  <c r="E54" i="73"/>
  <c r="E55" i="73"/>
  <c r="E56" i="73"/>
  <c r="E57" i="73"/>
  <c r="E59" i="73"/>
  <c r="E61" i="73"/>
  <c r="E62" i="73"/>
  <c r="E63" i="73"/>
  <c r="F40" i="73"/>
  <c r="F41" i="73"/>
  <c r="F42" i="73"/>
  <c r="F43" i="73"/>
  <c r="F44" i="73"/>
  <c r="F45" i="73"/>
  <c r="F46" i="73"/>
  <c r="F47" i="73"/>
  <c r="F48" i="73"/>
  <c r="F49" i="73"/>
  <c r="F50" i="73"/>
  <c r="F51" i="73"/>
  <c r="F52" i="73"/>
  <c r="F54" i="73"/>
  <c r="F55" i="73"/>
  <c r="F56" i="73"/>
  <c r="F57" i="73"/>
  <c r="F59" i="73"/>
  <c r="F61" i="73"/>
  <c r="F62" i="73"/>
  <c r="F63" i="73"/>
  <c r="G40" i="73"/>
  <c r="G41" i="73"/>
  <c r="G42" i="73"/>
  <c r="G43" i="73"/>
  <c r="G44" i="73"/>
  <c r="G45" i="73"/>
  <c r="G46" i="73"/>
  <c r="G47" i="73"/>
  <c r="G48" i="73"/>
  <c r="G49" i="73"/>
  <c r="G50" i="73"/>
  <c r="G51" i="73"/>
  <c r="G52" i="73"/>
  <c r="G54" i="73"/>
  <c r="G55" i="73"/>
  <c r="G56" i="73"/>
  <c r="G57" i="73"/>
  <c r="G59" i="73"/>
  <c r="G61" i="73"/>
  <c r="G62" i="73"/>
  <c r="G63" i="73"/>
  <c r="K13" i="73"/>
  <c r="L13" i="73" s="1"/>
  <c r="H40" i="73" s="1"/>
  <c r="E40" i="72"/>
  <c r="E41" i="72"/>
  <c r="E42" i="72"/>
  <c r="E43" i="72"/>
  <c r="E44" i="72"/>
  <c r="E45" i="72"/>
  <c r="E46" i="72"/>
  <c r="E47" i="72"/>
  <c r="E48" i="72"/>
  <c r="E49" i="72"/>
  <c r="E50" i="72"/>
  <c r="E51" i="72"/>
  <c r="E52" i="72"/>
  <c r="E54" i="72"/>
  <c r="E55" i="72"/>
  <c r="E56" i="72"/>
  <c r="E57" i="72"/>
  <c r="E59" i="72"/>
  <c r="E61" i="72"/>
  <c r="E62" i="72"/>
  <c r="E63" i="72"/>
  <c r="F40" i="72"/>
  <c r="F41" i="72"/>
  <c r="F42" i="72"/>
  <c r="F43" i="72"/>
  <c r="F44" i="72"/>
  <c r="F45" i="72"/>
  <c r="F46" i="72"/>
  <c r="F47" i="72"/>
  <c r="F48" i="72"/>
  <c r="F49" i="72"/>
  <c r="F50" i="72"/>
  <c r="F51" i="72"/>
  <c r="F52" i="72"/>
  <c r="F54" i="72"/>
  <c r="F55" i="72"/>
  <c r="F56" i="72"/>
  <c r="F57" i="72"/>
  <c r="F59" i="72"/>
  <c r="F61" i="72"/>
  <c r="F62" i="72"/>
  <c r="F63" i="72"/>
  <c r="G40" i="72"/>
  <c r="G41" i="72"/>
  <c r="G42" i="72"/>
  <c r="G43" i="72"/>
  <c r="G44" i="72"/>
  <c r="G45" i="72"/>
  <c r="G46" i="72"/>
  <c r="G47" i="72"/>
  <c r="G48" i="72"/>
  <c r="G49" i="72"/>
  <c r="G50" i="72"/>
  <c r="G51" i="72"/>
  <c r="G52" i="72"/>
  <c r="G54" i="72"/>
  <c r="G55" i="72"/>
  <c r="G56" i="72"/>
  <c r="G57" i="72"/>
  <c r="G59" i="72"/>
  <c r="G61" i="72"/>
  <c r="G62" i="72"/>
  <c r="G63" i="72"/>
  <c r="K13" i="72"/>
  <c r="L13" i="72" s="1"/>
  <c r="E40" i="71"/>
  <c r="E41" i="71"/>
  <c r="E42" i="71"/>
  <c r="E43" i="71"/>
  <c r="E44" i="71"/>
  <c r="E45" i="71"/>
  <c r="E46" i="71"/>
  <c r="E47" i="71"/>
  <c r="E48" i="71"/>
  <c r="E49" i="71"/>
  <c r="E50" i="71"/>
  <c r="E51" i="71"/>
  <c r="E52" i="71"/>
  <c r="E54" i="71"/>
  <c r="E55" i="71"/>
  <c r="E56" i="71"/>
  <c r="E57" i="71"/>
  <c r="E59" i="71"/>
  <c r="E61" i="71"/>
  <c r="E62" i="71"/>
  <c r="E63" i="71"/>
  <c r="F40" i="71"/>
  <c r="F41" i="71"/>
  <c r="F42" i="71"/>
  <c r="F43" i="71"/>
  <c r="F44" i="71"/>
  <c r="F45" i="71"/>
  <c r="F46" i="71"/>
  <c r="F47" i="71"/>
  <c r="F48" i="71"/>
  <c r="F49" i="71"/>
  <c r="F50" i="71"/>
  <c r="F51" i="71"/>
  <c r="F52" i="71"/>
  <c r="F54" i="71"/>
  <c r="F55" i="71"/>
  <c r="F56" i="71"/>
  <c r="F57" i="71"/>
  <c r="F59" i="71"/>
  <c r="F61" i="71"/>
  <c r="F62" i="71"/>
  <c r="F63" i="71"/>
  <c r="G40" i="71"/>
  <c r="G41" i="71"/>
  <c r="G42" i="71"/>
  <c r="G43" i="71"/>
  <c r="G44" i="71"/>
  <c r="G45" i="71"/>
  <c r="G46" i="71"/>
  <c r="G47" i="71"/>
  <c r="G48" i="71"/>
  <c r="G49" i="71"/>
  <c r="G50" i="71"/>
  <c r="G51" i="71"/>
  <c r="G52" i="71"/>
  <c r="G54" i="71"/>
  <c r="G55" i="71"/>
  <c r="G56" i="71"/>
  <c r="G57" i="71"/>
  <c r="G59" i="71"/>
  <c r="G61" i="71"/>
  <c r="G62" i="71"/>
  <c r="G63" i="71"/>
  <c r="K13" i="71"/>
  <c r="L13" i="71" s="1"/>
  <c r="H40" i="71" s="1"/>
  <c r="E40" i="68"/>
  <c r="E41" i="68"/>
  <c r="E42" i="68"/>
  <c r="E43" i="68"/>
  <c r="E44" i="68"/>
  <c r="E45" i="68"/>
  <c r="E46" i="68"/>
  <c r="E47" i="68"/>
  <c r="E48" i="68"/>
  <c r="E49" i="68"/>
  <c r="E50" i="68"/>
  <c r="E51" i="68"/>
  <c r="E52" i="68"/>
  <c r="E54" i="68"/>
  <c r="E55" i="68"/>
  <c r="E56" i="68"/>
  <c r="E57" i="68"/>
  <c r="E59" i="68"/>
  <c r="E61" i="68"/>
  <c r="E62" i="68"/>
  <c r="E63" i="68"/>
  <c r="F40" i="68"/>
  <c r="F41" i="68"/>
  <c r="F42" i="68"/>
  <c r="F43" i="68"/>
  <c r="F44" i="68"/>
  <c r="F45" i="68"/>
  <c r="F46" i="68"/>
  <c r="F47" i="68"/>
  <c r="F48" i="68"/>
  <c r="F49" i="68"/>
  <c r="F50" i="68"/>
  <c r="F51" i="68"/>
  <c r="F52" i="68"/>
  <c r="F54" i="68"/>
  <c r="F55" i="68"/>
  <c r="F56" i="68"/>
  <c r="F57" i="68"/>
  <c r="F59" i="68"/>
  <c r="F61" i="68"/>
  <c r="F62" i="68"/>
  <c r="F63" i="68"/>
  <c r="G40" i="68"/>
  <c r="G41" i="68"/>
  <c r="G42" i="68"/>
  <c r="G43" i="68"/>
  <c r="G44" i="68"/>
  <c r="G45" i="68"/>
  <c r="G46" i="68"/>
  <c r="G47" i="68"/>
  <c r="G48" i="68"/>
  <c r="G49" i="68"/>
  <c r="G50" i="68"/>
  <c r="G51" i="68"/>
  <c r="G52" i="68"/>
  <c r="G54" i="68"/>
  <c r="G55" i="68"/>
  <c r="G56" i="68"/>
  <c r="G57" i="68"/>
  <c r="G59" i="68"/>
  <c r="G61" i="68"/>
  <c r="G62" i="68"/>
  <c r="G63" i="68"/>
  <c r="K13" i="68"/>
  <c r="L13" i="68" s="1"/>
  <c r="H40" i="68" s="1"/>
  <c r="E40" i="70"/>
  <c r="E41" i="70"/>
  <c r="E42" i="70"/>
  <c r="E43" i="70"/>
  <c r="E44" i="70"/>
  <c r="E45" i="70"/>
  <c r="E46" i="70"/>
  <c r="E47" i="70"/>
  <c r="E48" i="70"/>
  <c r="E49" i="70"/>
  <c r="E50" i="70"/>
  <c r="E51" i="70"/>
  <c r="E52" i="70"/>
  <c r="E54" i="70"/>
  <c r="E55" i="70"/>
  <c r="E56" i="70"/>
  <c r="E57" i="70"/>
  <c r="E59" i="70"/>
  <c r="E61" i="70"/>
  <c r="E62" i="70"/>
  <c r="E63" i="70"/>
  <c r="F40" i="70"/>
  <c r="F41" i="70"/>
  <c r="F42" i="70"/>
  <c r="F43" i="70"/>
  <c r="F44" i="70"/>
  <c r="F45" i="70"/>
  <c r="F46" i="70"/>
  <c r="F47" i="70"/>
  <c r="F48" i="70"/>
  <c r="F49" i="70"/>
  <c r="F50" i="70"/>
  <c r="F51" i="70"/>
  <c r="F52" i="70"/>
  <c r="F54" i="70"/>
  <c r="F55" i="70"/>
  <c r="F56" i="70"/>
  <c r="F57" i="70"/>
  <c r="F59" i="70"/>
  <c r="F61" i="70"/>
  <c r="F62" i="70"/>
  <c r="F63" i="70"/>
  <c r="G40" i="70"/>
  <c r="G41" i="70"/>
  <c r="G42" i="70"/>
  <c r="G43" i="70"/>
  <c r="G44" i="70"/>
  <c r="G45" i="70"/>
  <c r="G46" i="70"/>
  <c r="G47" i="70"/>
  <c r="G48" i="70"/>
  <c r="G49" i="70"/>
  <c r="G50" i="70"/>
  <c r="G51" i="70"/>
  <c r="G52" i="70"/>
  <c r="G54" i="70"/>
  <c r="G55" i="70"/>
  <c r="G56" i="70"/>
  <c r="G57" i="70"/>
  <c r="G59" i="70"/>
  <c r="G61" i="70"/>
  <c r="G62" i="70"/>
  <c r="G63" i="70"/>
  <c r="K13" i="70"/>
  <c r="L13" i="70" s="1"/>
  <c r="H40" i="70" s="1"/>
  <c r="E40" i="69"/>
  <c r="E41" i="69"/>
  <c r="E42" i="69"/>
  <c r="E43" i="69"/>
  <c r="E44" i="69"/>
  <c r="E45" i="69"/>
  <c r="E46" i="69"/>
  <c r="E47" i="69"/>
  <c r="E48" i="69"/>
  <c r="E49" i="69"/>
  <c r="E50" i="69"/>
  <c r="E51" i="69"/>
  <c r="E52" i="69"/>
  <c r="E54" i="69"/>
  <c r="E55" i="69"/>
  <c r="E56" i="69"/>
  <c r="E57" i="69"/>
  <c r="E59" i="69"/>
  <c r="E61" i="69"/>
  <c r="E62" i="69"/>
  <c r="E63" i="69"/>
  <c r="F40" i="69"/>
  <c r="F41" i="69"/>
  <c r="F42" i="69"/>
  <c r="F43" i="69"/>
  <c r="F44" i="69"/>
  <c r="F45" i="69"/>
  <c r="F46" i="69"/>
  <c r="F47" i="69"/>
  <c r="F48" i="69"/>
  <c r="F49" i="69"/>
  <c r="F50" i="69"/>
  <c r="F51" i="69"/>
  <c r="F52" i="69"/>
  <c r="F54" i="69"/>
  <c r="F55" i="69"/>
  <c r="F56" i="69"/>
  <c r="F57" i="69"/>
  <c r="F59" i="69"/>
  <c r="F61" i="69"/>
  <c r="F62" i="69"/>
  <c r="F63" i="69"/>
  <c r="G40" i="69"/>
  <c r="G41" i="69"/>
  <c r="G42" i="69"/>
  <c r="G43" i="69"/>
  <c r="G44" i="69"/>
  <c r="G45" i="69"/>
  <c r="G46" i="69"/>
  <c r="G47" i="69"/>
  <c r="G48" i="69"/>
  <c r="G49" i="69"/>
  <c r="G50" i="69"/>
  <c r="G51" i="69"/>
  <c r="G52" i="69"/>
  <c r="G54" i="69"/>
  <c r="G55" i="69"/>
  <c r="G56" i="69"/>
  <c r="G57" i="69"/>
  <c r="G59" i="69"/>
  <c r="G61" i="69"/>
  <c r="G62" i="69"/>
  <c r="G63" i="69"/>
  <c r="K13" i="69"/>
  <c r="L13" i="69" s="1"/>
  <c r="H40" i="69" s="1"/>
  <c r="E40" i="21"/>
  <c r="E41" i="21"/>
  <c r="E42" i="21"/>
  <c r="E43" i="21"/>
  <c r="E44" i="21"/>
  <c r="E45" i="21"/>
  <c r="E46" i="21"/>
  <c r="E47" i="21"/>
  <c r="E48" i="21"/>
  <c r="E49" i="21"/>
  <c r="E50" i="21"/>
  <c r="E51" i="21"/>
  <c r="E52" i="21"/>
  <c r="E54" i="21"/>
  <c r="E55" i="21"/>
  <c r="E56" i="21"/>
  <c r="E57" i="21"/>
  <c r="E59" i="21"/>
  <c r="E61" i="21"/>
  <c r="E62" i="21"/>
  <c r="E63" i="21"/>
  <c r="F40" i="21"/>
  <c r="F41" i="21"/>
  <c r="F42" i="21"/>
  <c r="F43" i="21"/>
  <c r="F44" i="21"/>
  <c r="F45" i="21"/>
  <c r="F46" i="21"/>
  <c r="F47" i="21"/>
  <c r="F48" i="21"/>
  <c r="F49" i="21"/>
  <c r="F50" i="21"/>
  <c r="F51" i="21"/>
  <c r="F52" i="21"/>
  <c r="F54" i="21"/>
  <c r="F55" i="21"/>
  <c r="F56" i="21"/>
  <c r="F57" i="21"/>
  <c r="F59" i="21"/>
  <c r="F61" i="21"/>
  <c r="F62" i="21"/>
  <c r="F63" i="21"/>
  <c r="G40" i="21"/>
  <c r="G41" i="21"/>
  <c r="G42" i="21"/>
  <c r="G43" i="21"/>
  <c r="G44" i="21"/>
  <c r="G45" i="21"/>
  <c r="G46" i="21"/>
  <c r="G47" i="21"/>
  <c r="G48" i="21"/>
  <c r="G49" i="21"/>
  <c r="G50" i="21"/>
  <c r="G51" i="21"/>
  <c r="G52" i="21"/>
  <c r="G54" i="21"/>
  <c r="G55" i="21"/>
  <c r="G56" i="21"/>
  <c r="G57" i="21"/>
  <c r="G59" i="21"/>
  <c r="G61" i="21"/>
  <c r="G62" i="21"/>
  <c r="G63" i="21"/>
  <c r="K13" i="21"/>
  <c r="L13" i="21" s="1"/>
  <c r="H40" i="21" s="1"/>
  <c r="G68" i="86"/>
  <c r="H68" i="86"/>
  <c r="I68" i="86"/>
  <c r="G68" i="85"/>
  <c r="H68" i="85"/>
  <c r="I68" i="85"/>
  <c r="G68" i="84"/>
  <c r="H68" i="84"/>
  <c r="L68" i="84" s="1"/>
  <c r="I68" i="84"/>
  <c r="G68" i="82"/>
  <c r="H68" i="82"/>
  <c r="I68" i="82"/>
  <c r="K68" i="82"/>
  <c r="G68" i="79"/>
  <c r="H68" i="79"/>
  <c r="L68" i="79" s="1"/>
  <c r="I68" i="79"/>
  <c r="G68" i="83"/>
  <c r="K68" i="83" s="1"/>
  <c r="H68" i="83"/>
  <c r="I68" i="83"/>
  <c r="G68" i="81"/>
  <c r="H68" i="81"/>
  <c r="I68" i="81"/>
  <c r="G68" i="80"/>
  <c r="K68" i="80" s="1"/>
  <c r="H68" i="80"/>
  <c r="I68" i="80"/>
  <c r="L68" i="80"/>
  <c r="G68" i="78"/>
  <c r="H68" i="78"/>
  <c r="L68" i="78" s="1"/>
  <c r="I68" i="78"/>
  <c r="G68" i="77"/>
  <c r="H68" i="77"/>
  <c r="I68" i="77"/>
  <c r="K68" i="77" s="1"/>
  <c r="G68" i="75"/>
  <c r="H68" i="75"/>
  <c r="I68" i="75"/>
  <c r="K68" i="75" s="1"/>
  <c r="G68" i="76"/>
  <c r="H68" i="76"/>
  <c r="I68" i="76"/>
  <c r="G68" i="74"/>
  <c r="K68" i="74" s="1"/>
  <c r="H68" i="74"/>
  <c r="I68" i="74"/>
  <c r="G68" i="73"/>
  <c r="H68" i="73"/>
  <c r="I68" i="73"/>
  <c r="G68" i="72"/>
  <c r="H68" i="72"/>
  <c r="I68" i="72"/>
  <c r="G68" i="71"/>
  <c r="H68" i="71"/>
  <c r="I68" i="71"/>
  <c r="G68" i="68"/>
  <c r="H68" i="68"/>
  <c r="L68" i="68" s="1"/>
  <c r="I68" i="68"/>
  <c r="G68" i="70"/>
  <c r="H68" i="70"/>
  <c r="I68" i="70"/>
  <c r="K68" i="70" s="1"/>
  <c r="G68" i="69"/>
  <c r="H68" i="69"/>
  <c r="I68" i="69"/>
  <c r="G68" i="21"/>
  <c r="H68" i="21"/>
  <c r="I68" i="21"/>
  <c r="F11" i="20"/>
  <c r="E11" i="20" s="1"/>
  <c r="D11" i="20"/>
  <c r="G69" i="86"/>
  <c r="H69" i="86"/>
  <c r="I69" i="86"/>
  <c r="G69" i="85"/>
  <c r="H69" i="85"/>
  <c r="I69" i="85"/>
  <c r="G69" i="84"/>
  <c r="H69" i="84"/>
  <c r="I69" i="84"/>
  <c r="G69" i="82"/>
  <c r="H69" i="82"/>
  <c r="L69" i="82" s="1"/>
  <c r="I69" i="82"/>
  <c r="G69" i="79"/>
  <c r="H69" i="79"/>
  <c r="I69" i="79"/>
  <c r="K69" i="79" s="1"/>
  <c r="G69" i="83"/>
  <c r="H69" i="83"/>
  <c r="I69" i="83"/>
  <c r="G69" i="81"/>
  <c r="J69" i="81" s="1"/>
  <c r="H69" i="81"/>
  <c r="I69" i="81"/>
  <c r="K69" i="81" s="1"/>
  <c r="G69" i="80"/>
  <c r="H69" i="80"/>
  <c r="I69" i="80"/>
  <c r="G69" i="78"/>
  <c r="H69" i="78"/>
  <c r="L69" i="78" s="1"/>
  <c r="I69" i="78"/>
  <c r="G69" i="77"/>
  <c r="H69" i="77"/>
  <c r="I69" i="77"/>
  <c r="K69" i="77" s="1"/>
  <c r="G69" i="75"/>
  <c r="J69" i="75" s="1"/>
  <c r="H69" i="75"/>
  <c r="L69" i="75" s="1"/>
  <c r="I69" i="75"/>
  <c r="G69" i="76"/>
  <c r="H69" i="76"/>
  <c r="I69" i="76"/>
  <c r="G69" i="74"/>
  <c r="H69" i="74"/>
  <c r="I69" i="74"/>
  <c r="G69" i="73"/>
  <c r="J69" i="73" s="1"/>
  <c r="H69" i="73"/>
  <c r="I69" i="73"/>
  <c r="G69" i="72"/>
  <c r="H69" i="72"/>
  <c r="I69" i="72"/>
  <c r="K69" i="72" s="1"/>
  <c r="G69" i="71"/>
  <c r="H69" i="71"/>
  <c r="I69" i="71"/>
  <c r="G69" i="68"/>
  <c r="H69" i="68"/>
  <c r="L69" i="68" s="1"/>
  <c r="I69" i="68"/>
  <c r="G69" i="70"/>
  <c r="H69" i="70"/>
  <c r="I69" i="70"/>
  <c r="G69" i="69"/>
  <c r="H69" i="69"/>
  <c r="I69" i="69"/>
  <c r="K69" i="69" s="1"/>
  <c r="G69" i="21"/>
  <c r="H69" i="21"/>
  <c r="I69" i="21"/>
  <c r="F12" i="20"/>
  <c r="E12" i="20" s="1"/>
  <c r="D12" i="20"/>
  <c r="G70" i="86"/>
  <c r="H70" i="86"/>
  <c r="I70" i="86"/>
  <c r="G70" i="85"/>
  <c r="H70" i="85"/>
  <c r="I70" i="85"/>
  <c r="G70" i="84"/>
  <c r="H70" i="84"/>
  <c r="I70" i="84"/>
  <c r="G70" i="82"/>
  <c r="H70" i="82"/>
  <c r="I70" i="82"/>
  <c r="G70" i="79"/>
  <c r="H70" i="79"/>
  <c r="J70" i="79" s="1"/>
  <c r="I70" i="79"/>
  <c r="G70" i="83"/>
  <c r="H70" i="83"/>
  <c r="I70" i="83"/>
  <c r="G70" i="81"/>
  <c r="H70" i="81"/>
  <c r="J70" i="81" s="1"/>
  <c r="I70" i="81"/>
  <c r="K70" i="81" s="1"/>
  <c r="G70" i="80"/>
  <c r="H70" i="80"/>
  <c r="L70" i="80" s="1"/>
  <c r="I70" i="80"/>
  <c r="G70" i="78"/>
  <c r="K70" i="78" s="1"/>
  <c r="H70" i="78"/>
  <c r="I70" i="78"/>
  <c r="G70" i="77"/>
  <c r="H70" i="77"/>
  <c r="I70" i="77"/>
  <c r="L70" i="77"/>
  <c r="G70" i="75"/>
  <c r="H70" i="75"/>
  <c r="I70" i="75"/>
  <c r="G70" i="76"/>
  <c r="H70" i="76"/>
  <c r="I70" i="76"/>
  <c r="G70" i="74"/>
  <c r="H70" i="74"/>
  <c r="L70" i="74" s="1"/>
  <c r="I70" i="74"/>
  <c r="G70" i="73"/>
  <c r="H70" i="73"/>
  <c r="I70" i="73"/>
  <c r="K70" i="73" s="1"/>
  <c r="G70" i="72"/>
  <c r="H70" i="72"/>
  <c r="I70" i="72"/>
  <c r="K70" i="72" s="1"/>
  <c r="G70" i="71"/>
  <c r="J70" i="71" s="1"/>
  <c r="H70" i="71"/>
  <c r="L70" i="71" s="1"/>
  <c r="I70" i="71"/>
  <c r="G70" i="68"/>
  <c r="H70" i="68"/>
  <c r="I70" i="68"/>
  <c r="G70" i="70"/>
  <c r="H70" i="70"/>
  <c r="I70" i="70"/>
  <c r="G70" i="69"/>
  <c r="H70" i="69"/>
  <c r="I70" i="69"/>
  <c r="G70" i="21"/>
  <c r="H70" i="21"/>
  <c r="I70" i="21"/>
  <c r="F13" i="20"/>
  <c r="E13" i="20" s="1"/>
  <c r="D13" i="20"/>
  <c r="G71" i="86"/>
  <c r="H71" i="86"/>
  <c r="I71" i="86"/>
  <c r="G71" i="85"/>
  <c r="H71" i="85"/>
  <c r="I71" i="85"/>
  <c r="G71" i="84"/>
  <c r="H71" i="84"/>
  <c r="I71" i="84"/>
  <c r="G71" i="82"/>
  <c r="H71" i="82"/>
  <c r="I71" i="82"/>
  <c r="K71" i="82" s="1"/>
  <c r="G71" i="79"/>
  <c r="H71" i="79"/>
  <c r="I71" i="79"/>
  <c r="K71" i="79" s="1"/>
  <c r="G71" i="83"/>
  <c r="H71" i="83"/>
  <c r="L71" i="83" s="1"/>
  <c r="I71" i="83"/>
  <c r="K71" i="83"/>
  <c r="G71" i="81"/>
  <c r="H71" i="81"/>
  <c r="I71" i="81"/>
  <c r="K71" i="81" s="1"/>
  <c r="G71" i="80"/>
  <c r="H71" i="80"/>
  <c r="I71" i="80"/>
  <c r="G71" i="78"/>
  <c r="H71" i="78"/>
  <c r="I71" i="78"/>
  <c r="K71" i="78" s="1"/>
  <c r="G71" i="77"/>
  <c r="H71" i="77"/>
  <c r="L71" i="77" s="1"/>
  <c r="I71" i="77"/>
  <c r="K71" i="77"/>
  <c r="G71" i="75"/>
  <c r="H71" i="75"/>
  <c r="I71" i="75"/>
  <c r="G71" i="76"/>
  <c r="H71" i="76"/>
  <c r="I71" i="76"/>
  <c r="G71" i="74"/>
  <c r="H71" i="74"/>
  <c r="J71" i="74" s="1"/>
  <c r="I71" i="74"/>
  <c r="K71" i="74" s="1"/>
  <c r="G71" i="73"/>
  <c r="H71" i="73"/>
  <c r="L71" i="73" s="1"/>
  <c r="I71" i="73"/>
  <c r="G71" i="72"/>
  <c r="H71" i="72"/>
  <c r="I71" i="72"/>
  <c r="K71" i="72" s="1"/>
  <c r="L71" i="72"/>
  <c r="G71" i="71"/>
  <c r="H71" i="71"/>
  <c r="L71" i="71" s="1"/>
  <c r="I71" i="71"/>
  <c r="G71" i="68"/>
  <c r="H71" i="68"/>
  <c r="I71" i="68"/>
  <c r="G71" i="70"/>
  <c r="H71" i="70"/>
  <c r="J71" i="70" s="1"/>
  <c r="I71" i="70"/>
  <c r="G71" i="69"/>
  <c r="H71" i="69"/>
  <c r="L71" i="69" s="1"/>
  <c r="I71" i="69"/>
  <c r="G71" i="21"/>
  <c r="H71" i="21"/>
  <c r="I71" i="21"/>
  <c r="F14" i="20"/>
  <c r="E14" i="20" s="1"/>
  <c r="D14" i="20"/>
  <c r="G72" i="86"/>
  <c r="H72" i="86"/>
  <c r="I72" i="86"/>
  <c r="G72" i="85"/>
  <c r="H72" i="85"/>
  <c r="I72" i="85"/>
  <c r="G72" i="84"/>
  <c r="H72" i="84"/>
  <c r="L72" i="84" s="1"/>
  <c r="I72" i="84"/>
  <c r="G72" i="82"/>
  <c r="H72" i="82"/>
  <c r="I72" i="82"/>
  <c r="G72" i="79"/>
  <c r="H72" i="79"/>
  <c r="I72" i="79"/>
  <c r="G72" i="83"/>
  <c r="H72" i="83"/>
  <c r="I72" i="83"/>
  <c r="G72" i="81"/>
  <c r="J72" i="81" s="1"/>
  <c r="H72" i="81"/>
  <c r="I72" i="81"/>
  <c r="L72" i="81" s="1"/>
  <c r="K72" i="81"/>
  <c r="G72" i="80"/>
  <c r="H72" i="80"/>
  <c r="L72" i="80" s="1"/>
  <c r="I72" i="80"/>
  <c r="G72" i="78"/>
  <c r="H72" i="78"/>
  <c r="I72" i="78"/>
  <c r="G72" i="77"/>
  <c r="K72" i="77" s="1"/>
  <c r="H72" i="77"/>
  <c r="I72" i="77"/>
  <c r="G72" i="75"/>
  <c r="H72" i="75"/>
  <c r="I72" i="75"/>
  <c r="G72" i="76"/>
  <c r="H72" i="76"/>
  <c r="I72" i="76"/>
  <c r="G72" i="74"/>
  <c r="H72" i="74"/>
  <c r="L72" i="74" s="1"/>
  <c r="I72" i="74"/>
  <c r="K72" i="74" s="1"/>
  <c r="G72" i="73"/>
  <c r="H72" i="73"/>
  <c r="I72" i="73"/>
  <c r="G72" i="72"/>
  <c r="H72" i="72"/>
  <c r="L72" i="72" s="1"/>
  <c r="I72" i="72"/>
  <c r="G72" i="71"/>
  <c r="H72" i="71"/>
  <c r="I72" i="71"/>
  <c r="G72" i="68"/>
  <c r="H72" i="68"/>
  <c r="I72" i="68"/>
  <c r="G72" i="70"/>
  <c r="H72" i="70"/>
  <c r="I72" i="70"/>
  <c r="L72" i="70"/>
  <c r="G72" i="69"/>
  <c r="K72" i="69" s="1"/>
  <c r="H72" i="69"/>
  <c r="L72" i="69" s="1"/>
  <c r="I72" i="69"/>
  <c r="G72" i="21"/>
  <c r="H72" i="21"/>
  <c r="I72" i="21"/>
  <c r="F15" i="20"/>
  <c r="D15" i="20"/>
  <c r="E15" i="20"/>
  <c r="G73" i="86"/>
  <c r="H73" i="86"/>
  <c r="I73" i="86"/>
  <c r="G73" i="85"/>
  <c r="H73" i="85"/>
  <c r="I73" i="85"/>
  <c r="G73" i="84"/>
  <c r="H73" i="84"/>
  <c r="I73" i="84"/>
  <c r="G73" i="82"/>
  <c r="H73" i="82"/>
  <c r="I73" i="82"/>
  <c r="K73" i="82" s="1"/>
  <c r="G73" i="79"/>
  <c r="H73" i="79"/>
  <c r="I73" i="79"/>
  <c r="K73" i="79" s="1"/>
  <c r="G73" i="83"/>
  <c r="H73" i="83"/>
  <c r="L73" i="83" s="1"/>
  <c r="I73" i="83"/>
  <c r="G73" i="81"/>
  <c r="H73" i="81"/>
  <c r="L73" i="81" s="1"/>
  <c r="I73" i="81"/>
  <c r="G73" i="80"/>
  <c r="H73" i="80"/>
  <c r="I73" i="80"/>
  <c r="G73" i="78"/>
  <c r="H73" i="78"/>
  <c r="I73" i="78"/>
  <c r="G73" i="77"/>
  <c r="H73" i="77"/>
  <c r="I73" i="77"/>
  <c r="G73" i="75"/>
  <c r="H73" i="75"/>
  <c r="I73" i="75"/>
  <c r="G73" i="76"/>
  <c r="H73" i="76"/>
  <c r="L73" i="76" s="1"/>
  <c r="I73" i="76"/>
  <c r="G73" i="74"/>
  <c r="H73" i="74"/>
  <c r="I73" i="74"/>
  <c r="G73" i="73"/>
  <c r="K73" i="73" s="1"/>
  <c r="H73" i="73"/>
  <c r="I73" i="73"/>
  <c r="G73" i="72"/>
  <c r="H73" i="72"/>
  <c r="I73" i="72"/>
  <c r="K73" i="72" s="1"/>
  <c r="G73" i="71"/>
  <c r="H73" i="71"/>
  <c r="L73" i="71" s="1"/>
  <c r="I73" i="71"/>
  <c r="G73" i="68"/>
  <c r="H73" i="68"/>
  <c r="I73" i="68"/>
  <c r="K73" i="68" s="1"/>
  <c r="G73" i="70"/>
  <c r="H73" i="70"/>
  <c r="I73" i="70"/>
  <c r="G73" i="69"/>
  <c r="H73" i="69"/>
  <c r="I73" i="69"/>
  <c r="G73" i="21"/>
  <c r="H73" i="21"/>
  <c r="I73" i="21"/>
  <c r="F16" i="20"/>
  <c r="E16" i="20" s="1"/>
  <c r="D16" i="20"/>
  <c r="G74" i="86"/>
  <c r="H74" i="86"/>
  <c r="I74" i="86"/>
  <c r="G74" i="85"/>
  <c r="H74" i="85"/>
  <c r="I74" i="85"/>
  <c r="G74" i="84"/>
  <c r="H74" i="84"/>
  <c r="I74" i="84"/>
  <c r="G74" i="82"/>
  <c r="H74" i="82"/>
  <c r="L74" i="82" s="1"/>
  <c r="I74" i="82"/>
  <c r="G74" i="79"/>
  <c r="H74" i="79"/>
  <c r="I74" i="79"/>
  <c r="G74" i="83"/>
  <c r="H74" i="83"/>
  <c r="I74" i="83"/>
  <c r="K74" i="83" s="1"/>
  <c r="G74" i="81"/>
  <c r="H74" i="81"/>
  <c r="I74" i="81"/>
  <c r="K74" i="81"/>
  <c r="G74" i="80"/>
  <c r="H74" i="80"/>
  <c r="I74" i="80"/>
  <c r="G74" i="78"/>
  <c r="H74" i="78"/>
  <c r="I74" i="78"/>
  <c r="G74" i="77"/>
  <c r="H74" i="77"/>
  <c r="I74" i="77"/>
  <c r="G74" i="75"/>
  <c r="H74" i="75"/>
  <c r="I74" i="75"/>
  <c r="K74" i="75" s="1"/>
  <c r="G74" i="76"/>
  <c r="H74" i="76"/>
  <c r="I74" i="76"/>
  <c r="G74" i="74"/>
  <c r="H74" i="74"/>
  <c r="I74" i="74"/>
  <c r="K74" i="74" s="1"/>
  <c r="G74" i="73"/>
  <c r="H74" i="73"/>
  <c r="I74" i="73"/>
  <c r="G74" i="72"/>
  <c r="H74" i="72"/>
  <c r="L74" i="72" s="1"/>
  <c r="I74" i="72"/>
  <c r="G74" i="71"/>
  <c r="H74" i="71"/>
  <c r="L74" i="71" s="1"/>
  <c r="I74" i="71"/>
  <c r="G74" i="68"/>
  <c r="H74" i="68"/>
  <c r="I74" i="68"/>
  <c r="G74" i="70"/>
  <c r="H74" i="70"/>
  <c r="J74" i="70"/>
  <c r="I74" i="70"/>
  <c r="G74" i="69"/>
  <c r="H74" i="69"/>
  <c r="I74" i="69"/>
  <c r="G74" i="21"/>
  <c r="H74" i="21"/>
  <c r="L74" i="21" s="1"/>
  <c r="I74" i="21"/>
  <c r="F17" i="20"/>
  <c r="D17" i="20"/>
  <c r="G75" i="86"/>
  <c r="H75" i="86"/>
  <c r="I75" i="86"/>
  <c r="G75" i="85"/>
  <c r="H75" i="85"/>
  <c r="I75" i="85"/>
  <c r="G75" i="84"/>
  <c r="H75" i="84"/>
  <c r="I75" i="84"/>
  <c r="G75" i="82"/>
  <c r="H75" i="82"/>
  <c r="I75" i="82"/>
  <c r="G75" i="79"/>
  <c r="H75" i="79"/>
  <c r="I75" i="79"/>
  <c r="K75" i="79" s="1"/>
  <c r="G75" i="83"/>
  <c r="H75" i="83"/>
  <c r="I75" i="83"/>
  <c r="G75" i="81"/>
  <c r="H75" i="81"/>
  <c r="L75" i="81" s="1"/>
  <c r="I75" i="81"/>
  <c r="G75" i="80"/>
  <c r="K75" i="80" s="1"/>
  <c r="H75" i="80"/>
  <c r="I75" i="80"/>
  <c r="G75" i="78"/>
  <c r="H75" i="78"/>
  <c r="I75" i="78"/>
  <c r="G75" i="77"/>
  <c r="H75" i="77"/>
  <c r="L75" i="77" s="1"/>
  <c r="I75" i="77"/>
  <c r="G75" i="75"/>
  <c r="H75" i="75"/>
  <c r="L75" i="75" s="1"/>
  <c r="J75" i="75"/>
  <c r="I75" i="75"/>
  <c r="K75" i="75" s="1"/>
  <c r="G75" i="76"/>
  <c r="K75" i="76" s="1"/>
  <c r="H75" i="76"/>
  <c r="I75" i="76"/>
  <c r="G75" i="74"/>
  <c r="H75" i="74"/>
  <c r="I75" i="74"/>
  <c r="G75" i="73"/>
  <c r="H75" i="73"/>
  <c r="J75" i="73" s="1"/>
  <c r="I75" i="73"/>
  <c r="K75" i="73" s="1"/>
  <c r="G75" i="72"/>
  <c r="H75" i="72"/>
  <c r="L75" i="72" s="1"/>
  <c r="I75" i="72"/>
  <c r="G75" i="71"/>
  <c r="H75" i="71"/>
  <c r="I75" i="71"/>
  <c r="G75" i="68"/>
  <c r="H75" i="68"/>
  <c r="I75" i="68"/>
  <c r="G75" i="70"/>
  <c r="H75" i="70"/>
  <c r="I75" i="70"/>
  <c r="G75" i="69"/>
  <c r="H75" i="69"/>
  <c r="I75" i="69"/>
  <c r="G75" i="21"/>
  <c r="H75" i="21"/>
  <c r="I75" i="21"/>
  <c r="F18" i="20"/>
  <c r="D18" i="20"/>
  <c r="E18" i="20"/>
  <c r="G76" i="86"/>
  <c r="H76" i="86"/>
  <c r="I76" i="86"/>
  <c r="L76" i="86" s="1"/>
  <c r="G76" i="85"/>
  <c r="H76" i="85"/>
  <c r="I76" i="85"/>
  <c r="G76" i="84"/>
  <c r="H76" i="84"/>
  <c r="I76" i="84"/>
  <c r="G76" i="82"/>
  <c r="H76" i="82"/>
  <c r="I76" i="82"/>
  <c r="L76" i="82" s="1"/>
  <c r="G76" i="79"/>
  <c r="H76" i="79"/>
  <c r="I76" i="79"/>
  <c r="G76" i="83"/>
  <c r="H76" i="83"/>
  <c r="I76" i="83"/>
  <c r="G76" i="81"/>
  <c r="H76" i="81"/>
  <c r="J76" i="81" s="1"/>
  <c r="I76" i="81"/>
  <c r="K76" i="81" s="1"/>
  <c r="G76" i="80"/>
  <c r="H76" i="80"/>
  <c r="L76" i="80" s="1"/>
  <c r="I76" i="80"/>
  <c r="K76" i="80" s="1"/>
  <c r="G76" i="78"/>
  <c r="H76" i="78"/>
  <c r="I76" i="78"/>
  <c r="G76" i="77"/>
  <c r="H76" i="77"/>
  <c r="J76" i="77" s="1"/>
  <c r="I76" i="77"/>
  <c r="K76" i="77" s="1"/>
  <c r="G76" i="75"/>
  <c r="H76" i="75"/>
  <c r="I76" i="75"/>
  <c r="K76" i="75" s="1"/>
  <c r="G76" i="76"/>
  <c r="J76" i="76" s="1"/>
  <c r="H76" i="76"/>
  <c r="I76" i="76"/>
  <c r="G76" i="74"/>
  <c r="H76" i="74"/>
  <c r="L76" i="74" s="1"/>
  <c r="J76" i="74"/>
  <c r="M76" i="74" s="1"/>
  <c r="AB19" i="16" s="1"/>
  <c r="I76" i="74"/>
  <c r="K76" i="74" s="1"/>
  <c r="G76" i="73"/>
  <c r="H76" i="73"/>
  <c r="I76" i="73"/>
  <c r="K76" i="73"/>
  <c r="G76" i="72"/>
  <c r="H76" i="72"/>
  <c r="I76" i="72"/>
  <c r="G76" i="71"/>
  <c r="H76" i="71"/>
  <c r="I76" i="71"/>
  <c r="G76" i="68"/>
  <c r="H76" i="68"/>
  <c r="I76" i="68"/>
  <c r="G76" i="70"/>
  <c r="K76" i="70" s="1"/>
  <c r="H76" i="70"/>
  <c r="I76" i="70"/>
  <c r="G76" i="69"/>
  <c r="H76" i="69"/>
  <c r="I76" i="69"/>
  <c r="L76" i="69" s="1"/>
  <c r="G76" i="21"/>
  <c r="H76" i="21"/>
  <c r="I76" i="21"/>
  <c r="F19" i="20"/>
  <c r="E19" i="20" s="1"/>
  <c r="D19" i="20"/>
  <c r="G77" i="86"/>
  <c r="H77" i="86"/>
  <c r="I77" i="86"/>
  <c r="G77" i="85"/>
  <c r="H77" i="85"/>
  <c r="I77" i="85"/>
  <c r="G77" i="84"/>
  <c r="H77" i="84"/>
  <c r="I77" i="84"/>
  <c r="G77" i="82"/>
  <c r="H77" i="82"/>
  <c r="L77" i="82" s="1"/>
  <c r="I77" i="82"/>
  <c r="G77" i="79"/>
  <c r="H77" i="79"/>
  <c r="I77" i="79"/>
  <c r="G77" i="83"/>
  <c r="H77" i="83"/>
  <c r="I77" i="83"/>
  <c r="K77" i="83" s="1"/>
  <c r="G77" i="81"/>
  <c r="J77" i="81" s="1"/>
  <c r="H77" i="81"/>
  <c r="L77" i="81" s="1"/>
  <c r="I77" i="81"/>
  <c r="K77" i="81" s="1"/>
  <c r="G77" i="80"/>
  <c r="H77" i="80"/>
  <c r="L77" i="80" s="1"/>
  <c r="M77" i="80" s="1"/>
  <c r="R20" i="16" s="1"/>
  <c r="R20" i="18" s="1"/>
  <c r="J77" i="80"/>
  <c r="I77" i="80"/>
  <c r="K77" i="80" s="1"/>
  <c r="G77" i="78"/>
  <c r="H77" i="78"/>
  <c r="I77" i="78"/>
  <c r="G77" i="77"/>
  <c r="H77" i="77"/>
  <c r="L77" i="77" s="1"/>
  <c r="I77" i="77"/>
  <c r="G77" i="75"/>
  <c r="J77" i="75" s="1"/>
  <c r="H77" i="75"/>
  <c r="L77" i="75" s="1"/>
  <c r="I77" i="75"/>
  <c r="G77" i="76"/>
  <c r="K77" i="76" s="1"/>
  <c r="H77" i="76"/>
  <c r="I77" i="76"/>
  <c r="G77" i="74"/>
  <c r="K77" i="74" s="1"/>
  <c r="H77" i="74"/>
  <c r="L77" i="74" s="1"/>
  <c r="I77" i="74"/>
  <c r="G77" i="73"/>
  <c r="H77" i="73"/>
  <c r="L77" i="73" s="1"/>
  <c r="I77" i="73"/>
  <c r="K77" i="73" s="1"/>
  <c r="G77" i="72"/>
  <c r="H77" i="72"/>
  <c r="I77" i="72"/>
  <c r="G77" i="71"/>
  <c r="H77" i="71"/>
  <c r="I77" i="71"/>
  <c r="G77" i="68"/>
  <c r="H77" i="68"/>
  <c r="I77" i="68"/>
  <c r="G77" i="70"/>
  <c r="K77" i="70" s="1"/>
  <c r="H77" i="70"/>
  <c r="I77" i="70"/>
  <c r="G77" i="69"/>
  <c r="H77" i="69"/>
  <c r="L77" i="69" s="1"/>
  <c r="I77" i="69"/>
  <c r="G77" i="21"/>
  <c r="H77" i="21"/>
  <c r="L77" i="21" s="1"/>
  <c r="I77" i="21"/>
  <c r="F20" i="20"/>
  <c r="D20" i="20"/>
  <c r="G78" i="86"/>
  <c r="H78" i="86"/>
  <c r="I78" i="86"/>
  <c r="G78" i="85"/>
  <c r="H78" i="85"/>
  <c r="I78" i="85"/>
  <c r="G78" i="84"/>
  <c r="H78" i="84"/>
  <c r="I78" i="84"/>
  <c r="G78" i="82"/>
  <c r="H78" i="82"/>
  <c r="I78" i="82"/>
  <c r="K78" i="82" s="1"/>
  <c r="G78" i="79"/>
  <c r="H78" i="79"/>
  <c r="I78" i="79"/>
  <c r="G78" i="83"/>
  <c r="H78" i="83"/>
  <c r="J78" i="83" s="1"/>
  <c r="I78" i="83"/>
  <c r="G78" i="81"/>
  <c r="H78" i="81"/>
  <c r="L78" i="81" s="1"/>
  <c r="I78" i="81"/>
  <c r="G78" i="80"/>
  <c r="H78" i="80"/>
  <c r="I78" i="80"/>
  <c r="K78" i="80"/>
  <c r="G78" i="78"/>
  <c r="H78" i="78"/>
  <c r="I78" i="78"/>
  <c r="G78" i="77"/>
  <c r="H78" i="77"/>
  <c r="I78" i="77"/>
  <c r="G78" i="75"/>
  <c r="K78" i="75" s="1"/>
  <c r="H78" i="75"/>
  <c r="I78" i="75"/>
  <c r="G78" i="76"/>
  <c r="H78" i="76"/>
  <c r="I78" i="76"/>
  <c r="G78" i="74"/>
  <c r="J78" i="74" s="1"/>
  <c r="H78" i="74"/>
  <c r="I78" i="74"/>
  <c r="L78" i="74" s="1"/>
  <c r="G78" i="73"/>
  <c r="K78" i="73" s="1"/>
  <c r="H78" i="73"/>
  <c r="I78" i="73"/>
  <c r="L78" i="73"/>
  <c r="G78" i="72"/>
  <c r="H78" i="72"/>
  <c r="I78" i="72"/>
  <c r="G78" i="71"/>
  <c r="K78" i="71" s="1"/>
  <c r="H78" i="71"/>
  <c r="I78" i="71"/>
  <c r="L78" i="71"/>
  <c r="G78" i="68"/>
  <c r="H78" i="68"/>
  <c r="I78" i="68"/>
  <c r="G78" i="70"/>
  <c r="J78" i="70" s="1"/>
  <c r="H78" i="70"/>
  <c r="L78" i="70" s="1"/>
  <c r="I78" i="70"/>
  <c r="G78" i="69"/>
  <c r="H78" i="69"/>
  <c r="J78" i="69" s="1"/>
  <c r="I78" i="69"/>
  <c r="K78" i="69" s="1"/>
  <c r="G78" i="21"/>
  <c r="H78" i="21"/>
  <c r="I78" i="21"/>
  <c r="L78" i="21"/>
  <c r="F21" i="20"/>
  <c r="E21" i="20" s="1"/>
  <c r="D21" i="20"/>
  <c r="G79" i="86"/>
  <c r="H79" i="86"/>
  <c r="I79" i="86"/>
  <c r="G79" i="85"/>
  <c r="H79" i="85"/>
  <c r="I79" i="85"/>
  <c r="G79" i="84"/>
  <c r="H79" i="84"/>
  <c r="I79" i="84"/>
  <c r="G79" i="82"/>
  <c r="H79" i="82"/>
  <c r="I79" i="82"/>
  <c r="G79" i="79"/>
  <c r="H79" i="79"/>
  <c r="L79" i="79" s="1"/>
  <c r="J79" i="79"/>
  <c r="I79" i="79"/>
  <c r="K79" i="79" s="1"/>
  <c r="G79" i="83"/>
  <c r="H79" i="83"/>
  <c r="L79" i="83" s="1"/>
  <c r="I79" i="83"/>
  <c r="G79" i="81"/>
  <c r="K79" i="81" s="1"/>
  <c r="H79" i="81"/>
  <c r="I79" i="81"/>
  <c r="G79" i="80"/>
  <c r="H79" i="80"/>
  <c r="I79" i="80"/>
  <c r="K79" i="80"/>
  <c r="G79" i="78"/>
  <c r="K79" i="78" s="1"/>
  <c r="H79" i="78"/>
  <c r="I79" i="78"/>
  <c r="G79" i="77"/>
  <c r="J79" i="77" s="1"/>
  <c r="H79" i="77"/>
  <c r="I79" i="77"/>
  <c r="G79" i="75"/>
  <c r="H79" i="75"/>
  <c r="I79" i="75"/>
  <c r="G79" i="76"/>
  <c r="H79" i="76"/>
  <c r="I79" i="76"/>
  <c r="K79" i="76" s="1"/>
  <c r="G79" i="74"/>
  <c r="H79" i="74"/>
  <c r="L79" i="74" s="1"/>
  <c r="I79" i="74"/>
  <c r="K79" i="74" s="1"/>
  <c r="G79" i="73"/>
  <c r="H79" i="73"/>
  <c r="I79" i="73"/>
  <c r="G79" i="72"/>
  <c r="H79" i="72"/>
  <c r="J79" i="72"/>
  <c r="I79" i="72"/>
  <c r="G79" i="71"/>
  <c r="H79" i="71"/>
  <c r="I79" i="71"/>
  <c r="G79" i="68"/>
  <c r="H79" i="68"/>
  <c r="I79" i="68"/>
  <c r="G79" i="70"/>
  <c r="H79" i="70"/>
  <c r="I79" i="70"/>
  <c r="G79" i="69"/>
  <c r="H79" i="69"/>
  <c r="L79" i="69" s="1"/>
  <c r="I79" i="69"/>
  <c r="G79" i="21"/>
  <c r="H79" i="21"/>
  <c r="I79" i="21"/>
  <c r="F22" i="20"/>
  <c r="E22" i="20" s="1"/>
  <c r="D22" i="20"/>
  <c r="G80" i="86"/>
  <c r="H80" i="86"/>
  <c r="I80" i="86"/>
  <c r="G80" i="85"/>
  <c r="H80" i="85"/>
  <c r="I80" i="85"/>
  <c r="G80" i="84"/>
  <c r="H80" i="84"/>
  <c r="I80" i="84"/>
  <c r="G80" i="82"/>
  <c r="H80" i="82"/>
  <c r="J80" i="82" s="1"/>
  <c r="I80" i="82"/>
  <c r="K80" i="82" s="1"/>
  <c r="G80" i="79"/>
  <c r="H80" i="79"/>
  <c r="I80" i="79"/>
  <c r="K80" i="79" s="1"/>
  <c r="G80" i="83"/>
  <c r="K80" i="83" s="1"/>
  <c r="H80" i="83"/>
  <c r="I80" i="83"/>
  <c r="G80" i="81"/>
  <c r="H80" i="81"/>
  <c r="I80" i="81"/>
  <c r="G80" i="80"/>
  <c r="H80" i="80"/>
  <c r="I80" i="80"/>
  <c r="G80" i="78"/>
  <c r="H80" i="78"/>
  <c r="I80" i="78"/>
  <c r="G80" i="77"/>
  <c r="K80" i="77" s="1"/>
  <c r="H80" i="77"/>
  <c r="I80" i="77"/>
  <c r="L80" i="77" s="1"/>
  <c r="G80" i="75"/>
  <c r="H80" i="75"/>
  <c r="I80" i="75"/>
  <c r="G80" i="76"/>
  <c r="H80" i="76"/>
  <c r="I80" i="76"/>
  <c r="G80" i="74"/>
  <c r="J80" i="74" s="1"/>
  <c r="H80" i="74"/>
  <c r="I80" i="74"/>
  <c r="G80" i="73"/>
  <c r="H80" i="73"/>
  <c r="I80" i="73"/>
  <c r="G80" i="72"/>
  <c r="H80" i="72"/>
  <c r="I80" i="72"/>
  <c r="K80" i="72" s="1"/>
  <c r="G80" i="71"/>
  <c r="H80" i="71"/>
  <c r="J80" i="71" s="1"/>
  <c r="I80" i="71"/>
  <c r="G80" i="68"/>
  <c r="H80" i="68"/>
  <c r="I80" i="68"/>
  <c r="G80" i="70"/>
  <c r="J80" i="70" s="1"/>
  <c r="H80" i="70"/>
  <c r="I80" i="70"/>
  <c r="K80" i="70"/>
  <c r="L80" i="70"/>
  <c r="G80" i="69"/>
  <c r="H80" i="69"/>
  <c r="I80" i="69"/>
  <c r="G80" i="21"/>
  <c r="H80" i="21"/>
  <c r="I80" i="21"/>
  <c r="F23" i="20"/>
  <c r="D23" i="20"/>
  <c r="G81" i="86"/>
  <c r="H81" i="86"/>
  <c r="I81" i="86"/>
  <c r="G81" i="85"/>
  <c r="H81" i="85"/>
  <c r="I81" i="85"/>
  <c r="G81" i="84"/>
  <c r="K81" i="84" s="1"/>
  <c r="H81" i="84"/>
  <c r="I81" i="84"/>
  <c r="G81" i="82"/>
  <c r="K81" i="82" s="1"/>
  <c r="H81" i="82"/>
  <c r="L81" i="82" s="1"/>
  <c r="I81" i="82"/>
  <c r="G81" i="79"/>
  <c r="H81" i="79"/>
  <c r="I81" i="79"/>
  <c r="G81" i="83"/>
  <c r="K81" i="83" s="1"/>
  <c r="H81" i="83"/>
  <c r="I81" i="83"/>
  <c r="G81" i="81"/>
  <c r="K81" i="81" s="1"/>
  <c r="H81" i="81"/>
  <c r="L81" i="81" s="1"/>
  <c r="I81" i="81"/>
  <c r="G81" i="80"/>
  <c r="K81" i="80" s="1"/>
  <c r="H81" i="80"/>
  <c r="I81" i="80"/>
  <c r="G81" i="78"/>
  <c r="H81" i="78"/>
  <c r="I81" i="78"/>
  <c r="G81" i="77"/>
  <c r="H81" i="77"/>
  <c r="L81" i="77" s="1"/>
  <c r="I81" i="77"/>
  <c r="G81" i="75"/>
  <c r="H81" i="75"/>
  <c r="L81" i="75" s="1"/>
  <c r="I81" i="75"/>
  <c r="K81" i="75" s="1"/>
  <c r="G81" i="76"/>
  <c r="H81" i="76"/>
  <c r="I81" i="76"/>
  <c r="K81" i="76" s="1"/>
  <c r="G81" i="74"/>
  <c r="H81" i="74"/>
  <c r="I81" i="74"/>
  <c r="L81" i="74" s="1"/>
  <c r="G81" i="73"/>
  <c r="H81" i="73"/>
  <c r="I81" i="73"/>
  <c r="K81" i="73" s="1"/>
  <c r="G81" i="72"/>
  <c r="K81" i="72" s="1"/>
  <c r="H81" i="72"/>
  <c r="I81" i="72"/>
  <c r="G81" i="71"/>
  <c r="H81" i="71"/>
  <c r="I81" i="71"/>
  <c r="G81" i="68"/>
  <c r="H81" i="68"/>
  <c r="I81" i="68"/>
  <c r="G81" i="70"/>
  <c r="H81" i="70"/>
  <c r="I81" i="70"/>
  <c r="G81" i="69"/>
  <c r="H81" i="69"/>
  <c r="L81" i="69" s="1"/>
  <c r="I81" i="69"/>
  <c r="G81" i="21"/>
  <c r="H81" i="21"/>
  <c r="I81" i="21"/>
  <c r="F24" i="20"/>
  <c r="E24" i="20" s="1"/>
  <c r="D24" i="20"/>
  <c r="G82" i="86"/>
  <c r="H82" i="86"/>
  <c r="I82" i="86"/>
  <c r="G82" i="85"/>
  <c r="H82" i="85"/>
  <c r="I82" i="85"/>
  <c r="G82" i="84"/>
  <c r="H82" i="84"/>
  <c r="I82" i="84"/>
  <c r="G82" i="82"/>
  <c r="H82" i="82"/>
  <c r="I82" i="82"/>
  <c r="L82" i="82" s="1"/>
  <c r="G82" i="79"/>
  <c r="H82" i="79"/>
  <c r="I82" i="79"/>
  <c r="K82" i="79" s="1"/>
  <c r="G82" i="83"/>
  <c r="H82" i="83"/>
  <c r="I82" i="83"/>
  <c r="G82" i="81"/>
  <c r="H82" i="81"/>
  <c r="I82" i="81"/>
  <c r="K82" i="81"/>
  <c r="G82" i="80"/>
  <c r="H82" i="80"/>
  <c r="I82" i="80"/>
  <c r="K82" i="80"/>
  <c r="G82" i="78"/>
  <c r="H82" i="78"/>
  <c r="I82" i="78"/>
  <c r="G82" i="77"/>
  <c r="H82" i="77"/>
  <c r="I82" i="77"/>
  <c r="G82" i="75"/>
  <c r="H82" i="75"/>
  <c r="I82" i="75"/>
  <c r="G82" i="76"/>
  <c r="H82" i="76"/>
  <c r="J82" i="76" s="1"/>
  <c r="I82" i="76"/>
  <c r="G82" i="74"/>
  <c r="H82" i="74"/>
  <c r="I82" i="74"/>
  <c r="L82" i="74" s="1"/>
  <c r="K82" i="74"/>
  <c r="G82" i="73"/>
  <c r="H82" i="73"/>
  <c r="I82" i="73"/>
  <c r="G82" i="72"/>
  <c r="H82" i="72"/>
  <c r="I82" i="72"/>
  <c r="K82" i="72"/>
  <c r="G82" i="71"/>
  <c r="H82" i="71"/>
  <c r="L82" i="71" s="1"/>
  <c r="I82" i="71"/>
  <c r="G82" i="68"/>
  <c r="H82" i="68"/>
  <c r="I82" i="68"/>
  <c r="G82" i="70"/>
  <c r="K82" i="70" s="1"/>
  <c r="H82" i="70"/>
  <c r="I82" i="70"/>
  <c r="L82" i="70"/>
  <c r="G82" i="69"/>
  <c r="K82" i="69" s="1"/>
  <c r="H82" i="69"/>
  <c r="L82" i="69" s="1"/>
  <c r="I82" i="69"/>
  <c r="G82" i="21"/>
  <c r="H82" i="21"/>
  <c r="I82" i="21"/>
  <c r="F25" i="20"/>
  <c r="D25" i="20"/>
  <c r="E25" i="20" s="1"/>
  <c r="G83" i="86"/>
  <c r="H83" i="86"/>
  <c r="I83" i="86"/>
  <c r="G83" i="85"/>
  <c r="H83" i="85"/>
  <c r="I83" i="85"/>
  <c r="G83" i="84"/>
  <c r="H83" i="84"/>
  <c r="I83" i="84"/>
  <c r="G83" i="82"/>
  <c r="H83" i="82"/>
  <c r="I83" i="82"/>
  <c r="K83" i="82" s="1"/>
  <c r="G83" i="79"/>
  <c r="H83" i="79"/>
  <c r="I83" i="79"/>
  <c r="G83" i="83"/>
  <c r="H83" i="83"/>
  <c r="I83" i="83"/>
  <c r="L83" i="83"/>
  <c r="G83" i="81"/>
  <c r="H83" i="81"/>
  <c r="I83" i="81"/>
  <c r="K83" i="81" s="1"/>
  <c r="G83" i="80"/>
  <c r="H83" i="80"/>
  <c r="I83" i="80"/>
  <c r="L83" i="80" s="1"/>
  <c r="K83" i="80"/>
  <c r="G83" i="78"/>
  <c r="K83" i="78" s="1"/>
  <c r="H83" i="78"/>
  <c r="I83" i="78"/>
  <c r="G83" i="77"/>
  <c r="H83" i="77"/>
  <c r="I83" i="77"/>
  <c r="G83" i="75"/>
  <c r="H83" i="75"/>
  <c r="I83" i="75"/>
  <c r="G83" i="76"/>
  <c r="K83" i="76" s="1"/>
  <c r="H83" i="76"/>
  <c r="L83" i="76" s="1"/>
  <c r="I83" i="76"/>
  <c r="G83" i="74"/>
  <c r="H83" i="74"/>
  <c r="L83" i="74" s="1"/>
  <c r="I83" i="74"/>
  <c r="G83" i="73"/>
  <c r="H83" i="73"/>
  <c r="L83" i="73" s="1"/>
  <c r="I83" i="73"/>
  <c r="G83" i="72"/>
  <c r="H83" i="72"/>
  <c r="I83" i="72"/>
  <c r="G83" i="71"/>
  <c r="H83" i="71"/>
  <c r="I83" i="71"/>
  <c r="G83" i="68"/>
  <c r="H83" i="68"/>
  <c r="I83" i="68"/>
  <c r="L83" i="68"/>
  <c r="G83" i="70"/>
  <c r="H83" i="70"/>
  <c r="I83" i="70"/>
  <c r="G83" i="69"/>
  <c r="K83" i="69" s="1"/>
  <c r="H83" i="69"/>
  <c r="L83" i="69" s="1"/>
  <c r="I83" i="69"/>
  <c r="G83" i="21"/>
  <c r="H83" i="21"/>
  <c r="I83" i="21"/>
  <c r="F26" i="20"/>
  <c r="D26" i="20"/>
  <c r="E26" i="20"/>
  <c r="G84" i="86"/>
  <c r="H84" i="86"/>
  <c r="L84" i="86" s="1"/>
  <c r="I84" i="86"/>
  <c r="G84" i="85"/>
  <c r="H84" i="85"/>
  <c r="I84" i="85"/>
  <c r="G84" i="84"/>
  <c r="K84" i="84" s="1"/>
  <c r="H84" i="84"/>
  <c r="I84" i="84"/>
  <c r="G84" i="82"/>
  <c r="H84" i="82"/>
  <c r="I84" i="82"/>
  <c r="G84" i="79"/>
  <c r="H84" i="79"/>
  <c r="I84" i="79"/>
  <c r="K84" i="79" s="1"/>
  <c r="G84" i="83"/>
  <c r="K84" i="83" s="1"/>
  <c r="H84" i="83"/>
  <c r="I84" i="83"/>
  <c r="G84" i="81"/>
  <c r="K84" i="81" s="1"/>
  <c r="H84" i="81"/>
  <c r="L84" i="81" s="1"/>
  <c r="I84" i="81"/>
  <c r="G84" i="80"/>
  <c r="K84" i="80" s="1"/>
  <c r="H84" i="80"/>
  <c r="I84" i="80"/>
  <c r="G84" i="78"/>
  <c r="K84" i="78" s="1"/>
  <c r="H84" i="78"/>
  <c r="L84" i="78" s="1"/>
  <c r="I84" i="78"/>
  <c r="G84" i="77"/>
  <c r="H84" i="77"/>
  <c r="L84" i="77" s="1"/>
  <c r="I84" i="77"/>
  <c r="G84" i="75"/>
  <c r="H84" i="75"/>
  <c r="I84" i="75"/>
  <c r="K84" i="75" s="1"/>
  <c r="G84" i="76"/>
  <c r="H84" i="76"/>
  <c r="I84" i="76"/>
  <c r="G84" i="74"/>
  <c r="H84" i="74"/>
  <c r="I84" i="74"/>
  <c r="K84" i="74" s="1"/>
  <c r="G84" i="73"/>
  <c r="H84" i="73"/>
  <c r="J84" i="73" s="1"/>
  <c r="I84" i="73"/>
  <c r="K84" i="73" s="1"/>
  <c r="G84" i="72"/>
  <c r="H84" i="72"/>
  <c r="I84" i="72"/>
  <c r="G84" i="71"/>
  <c r="H84" i="71"/>
  <c r="I84" i="71"/>
  <c r="G84" i="68"/>
  <c r="H84" i="68"/>
  <c r="I84" i="68"/>
  <c r="G84" i="70"/>
  <c r="H84" i="70"/>
  <c r="I84" i="70"/>
  <c r="G84" i="69"/>
  <c r="H84" i="69"/>
  <c r="L84" i="69" s="1"/>
  <c r="I84" i="69"/>
  <c r="G84" i="21"/>
  <c r="J84" i="21" s="1"/>
  <c r="H84" i="21"/>
  <c r="I84" i="21"/>
  <c r="L84" i="21"/>
  <c r="F27" i="20"/>
  <c r="D27" i="20"/>
  <c r="E27" i="20"/>
  <c r="G85" i="86"/>
  <c r="H85" i="86"/>
  <c r="I85" i="86"/>
  <c r="G85" i="85"/>
  <c r="H85" i="85"/>
  <c r="I85" i="85"/>
  <c r="G85" i="84"/>
  <c r="H85" i="84"/>
  <c r="I85" i="84"/>
  <c r="G85" i="82"/>
  <c r="H85" i="82"/>
  <c r="I85" i="82"/>
  <c r="K85" i="82"/>
  <c r="G85" i="79"/>
  <c r="H85" i="79"/>
  <c r="I85" i="79"/>
  <c r="G85" i="83"/>
  <c r="H85" i="83"/>
  <c r="L85" i="83" s="1"/>
  <c r="I85" i="83"/>
  <c r="G85" i="81"/>
  <c r="K85" i="81" s="1"/>
  <c r="H85" i="81"/>
  <c r="L85" i="81" s="1"/>
  <c r="I85" i="81"/>
  <c r="G85" i="80"/>
  <c r="J85" i="80" s="1"/>
  <c r="H85" i="80"/>
  <c r="I85" i="80"/>
  <c r="G85" i="78"/>
  <c r="H85" i="78"/>
  <c r="L85" i="78" s="1"/>
  <c r="I85" i="78"/>
  <c r="G85" i="77"/>
  <c r="H85" i="77"/>
  <c r="I85" i="77"/>
  <c r="G85" i="75"/>
  <c r="H85" i="75"/>
  <c r="L85" i="75" s="1"/>
  <c r="J85" i="75"/>
  <c r="I85" i="75"/>
  <c r="G85" i="76"/>
  <c r="H85" i="76"/>
  <c r="I85" i="76"/>
  <c r="G85" i="74"/>
  <c r="H85" i="74"/>
  <c r="I85" i="74"/>
  <c r="G85" i="73"/>
  <c r="K85" i="73" s="1"/>
  <c r="H85" i="73"/>
  <c r="I85" i="73"/>
  <c r="G85" i="72"/>
  <c r="H85" i="72"/>
  <c r="I85" i="72"/>
  <c r="G85" i="71"/>
  <c r="H85" i="71"/>
  <c r="I85" i="71"/>
  <c r="G85" i="68"/>
  <c r="H85" i="68"/>
  <c r="I85" i="68"/>
  <c r="G85" i="70"/>
  <c r="H85" i="70"/>
  <c r="I85" i="70"/>
  <c r="K85" i="70" s="1"/>
  <c r="G85" i="69"/>
  <c r="H85" i="69"/>
  <c r="L85" i="69" s="1"/>
  <c r="I85" i="69"/>
  <c r="G85" i="21"/>
  <c r="H85" i="21"/>
  <c r="I85" i="21"/>
  <c r="F28" i="20"/>
  <c r="D28" i="20"/>
  <c r="E28" i="20"/>
  <c r="G86" i="86"/>
  <c r="H86" i="86"/>
  <c r="I86" i="86"/>
  <c r="G86" i="85"/>
  <c r="H86" i="85"/>
  <c r="I86" i="85"/>
  <c r="G86" i="84"/>
  <c r="H86" i="84"/>
  <c r="I86" i="84"/>
  <c r="G86" i="82"/>
  <c r="H86" i="82"/>
  <c r="I86" i="82"/>
  <c r="G86" i="79"/>
  <c r="H86" i="79"/>
  <c r="I86" i="79"/>
  <c r="G86" i="83"/>
  <c r="H86" i="83"/>
  <c r="L86" i="83" s="1"/>
  <c r="I86" i="83"/>
  <c r="G86" i="81"/>
  <c r="J86" i="81" s="1"/>
  <c r="H86" i="81"/>
  <c r="I86" i="81"/>
  <c r="G86" i="80"/>
  <c r="H86" i="80"/>
  <c r="J86" i="80" s="1"/>
  <c r="I86" i="80"/>
  <c r="K86" i="80" s="1"/>
  <c r="G86" i="78"/>
  <c r="H86" i="78"/>
  <c r="I86" i="78"/>
  <c r="G86" i="77"/>
  <c r="K86" i="77" s="1"/>
  <c r="H86" i="77"/>
  <c r="J86" i="77" s="1"/>
  <c r="I86" i="77"/>
  <c r="L86" i="77"/>
  <c r="G86" i="75"/>
  <c r="H86" i="75"/>
  <c r="I86" i="75"/>
  <c r="G86" i="76"/>
  <c r="H86" i="76"/>
  <c r="J86" i="76" s="1"/>
  <c r="I86" i="76"/>
  <c r="G86" i="74"/>
  <c r="H86" i="74"/>
  <c r="J86" i="74" s="1"/>
  <c r="I86" i="74"/>
  <c r="K86" i="74" s="1"/>
  <c r="G86" i="73"/>
  <c r="H86" i="73"/>
  <c r="I86" i="73"/>
  <c r="G86" i="72"/>
  <c r="H86" i="72"/>
  <c r="I86" i="72"/>
  <c r="G86" i="71"/>
  <c r="H86" i="71"/>
  <c r="L86" i="71" s="1"/>
  <c r="I86" i="71"/>
  <c r="G86" i="68"/>
  <c r="H86" i="68"/>
  <c r="I86" i="68"/>
  <c r="G86" i="70"/>
  <c r="K86" i="70" s="1"/>
  <c r="H86" i="70"/>
  <c r="I86" i="70"/>
  <c r="G86" i="69"/>
  <c r="H86" i="69"/>
  <c r="I86" i="69"/>
  <c r="G86" i="21"/>
  <c r="H86" i="21"/>
  <c r="I86" i="21"/>
  <c r="L86" i="21" s="1"/>
  <c r="F29" i="20"/>
  <c r="D29" i="20"/>
  <c r="G87" i="86"/>
  <c r="H87" i="86"/>
  <c r="I87" i="86"/>
  <c r="G87" i="85"/>
  <c r="H87" i="85"/>
  <c r="I87" i="85"/>
  <c r="G87" i="84"/>
  <c r="H87" i="84"/>
  <c r="I87" i="84"/>
  <c r="G87" i="82"/>
  <c r="K87" i="82" s="1"/>
  <c r="H87" i="82"/>
  <c r="I87" i="82"/>
  <c r="G87" i="79"/>
  <c r="H87" i="79"/>
  <c r="I87" i="79"/>
  <c r="G87" i="83"/>
  <c r="H87" i="83"/>
  <c r="I87" i="83"/>
  <c r="G87" i="81"/>
  <c r="H87" i="81"/>
  <c r="I87" i="81"/>
  <c r="G87" i="80"/>
  <c r="H87" i="80"/>
  <c r="I87" i="80"/>
  <c r="K87" i="80" s="1"/>
  <c r="G87" i="78"/>
  <c r="H87" i="78"/>
  <c r="I87" i="78"/>
  <c r="G87" i="77"/>
  <c r="J87" i="77" s="1"/>
  <c r="H87" i="77"/>
  <c r="I87" i="77"/>
  <c r="K87" i="77" s="1"/>
  <c r="G87" i="75"/>
  <c r="H87" i="75"/>
  <c r="L87" i="75" s="1"/>
  <c r="I87" i="75"/>
  <c r="G87" i="76"/>
  <c r="H87" i="76"/>
  <c r="I87" i="76"/>
  <c r="G87" i="74"/>
  <c r="H87" i="74"/>
  <c r="I87" i="74"/>
  <c r="G87" i="73"/>
  <c r="H87" i="73"/>
  <c r="J87" i="73"/>
  <c r="I87" i="73"/>
  <c r="K87" i="73" s="1"/>
  <c r="L87" i="73"/>
  <c r="G87" i="72"/>
  <c r="H87" i="72"/>
  <c r="I87" i="72"/>
  <c r="G87" i="71"/>
  <c r="H87" i="71"/>
  <c r="L87" i="71" s="1"/>
  <c r="I87" i="71"/>
  <c r="G87" i="68"/>
  <c r="H87" i="68"/>
  <c r="I87" i="68"/>
  <c r="G87" i="70"/>
  <c r="H87" i="70"/>
  <c r="I87" i="70"/>
  <c r="G87" i="69"/>
  <c r="K87" i="69" s="1"/>
  <c r="H87" i="69"/>
  <c r="I87" i="69"/>
  <c r="G87" i="21"/>
  <c r="H87" i="21"/>
  <c r="I87" i="21"/>
  <c r="F30" i="20"/>
  <c r="D30" i="20"/>
  <c r="E30" i="20"/>
  <c r="R8" i="20"/>
  <c r="M7" i="20"/>
  <c r="J7" i="20"/>
  <c r="B30" i="19"/>
  <c r="B30" i="18" s="1"/>
  <c r="B30" i="20" s="1"/>
  <c r="B11" i="19"/>
  <c r="B11" i="18" s="1"/>
  <c r="B11" i="20" s="1"/>
  <c r="B14" i="21"/>
  <c r="B68" i="21" s="1"/>
  <c r="R68" i="21" s="1"/>
  <c r="C11" i="16" s="1"/>
  <c r="B12" i="19"/>
  <c r="B12" i="18" s="1"/>
  <c r="B12" i="20" s="1"/>
  <c r="B13" i="19"/>
  <c r="B13" i="18" s="1"/>
  <c r="B13" i="20" s="1"/>
  <c r="B14" i="19"/>
  <c r="B14" i="18" s="1"/>
  <c r="B14" i="20" s="1"/>
  <c r="B15" i="19"/>
  <c r="B15" i="18" s="1"/>
  <c r="B15" i="20"/>
  <c r="B18" i="21"/>
  <c r="B72" i="21" s="1"/>
  <c r="R72" i="21" s="1"/>
  <c r="C15" i="16" s="1"/>
  <c r="C15" i="17" s="1"/>
  <c r="B16" i="19"/>
  <c r="B16" i="18" s="1"/>
  <c r="B16" i="20" s="1"/>
  <c r="B17" i="19"/>
  <c r="B17" i="18" s="1"/>
  <c r="B17" i="20" s="1"/>
  <c r="B18" i="19"/>
  <c r="B18" i="18" s="1"/>
  <c r="B18" i="20" s="1"/>
  <c r="B19" i="19"/>
  <c r="B19" i="18" s="1"/>
  <c r="B19" i="20" s="1"/>
  <c r="B20" i="19"/>
  <c r="B20" i="18" s="1"/>
  <c r="B20" i="20" s="1"/>
  <c r="B21" i="19"/>
  <c r="B21" i="18" s="1"/>
  <c r="B21" i="20" s="1"/>
  <c r="B24" i="21"/>
  <c r="B78" i="21" s="1"/>
  <c r="R78" i="21" s="1"/>
  <c r="C21" i="16" s="1"/>
  <c r="B22" i="19"/>
  <c r="B22" i="18" s="1"/>
  <c r="B22" i="20" s="1"/>
  <c r="B23" i="19"/>
  <c r="B23" i="18" s="1"/>
  <c r="B23" i="20" s="1"/>
  <c r="B24" i="19"/>
  <c r="B24" i="18" s="1"/>
  <c r="B24" i="20" s="1"/>
  <c r="B25" i="19"/>
  <c r="B25" i="18"/>
  <c r="B25" i="20" s="1"/>
  <c r="B29" i="21"/>
  <c r="B82" i="21" s="1"/>
  <c r="R82" i="21" s="1"/>
  <c r="C25" i="16" s="1"/>
  <c r="B26" i="19"/>
  <c r="B26" i="18" s="1"/>
  <c r="B26" i="20" s="1"/>
  <c r="B27" i="19"/>
  <c r="B27" i="18" s="1"/>
  <c r="B27" i="20" s="1"/>
  <c r="B32" i="21"/>
  <c r="B84" i="21" s="1"/>
  <c r="R84" i="21" s="1"/>
  <c r="C27" i="16" s="1"/>
  <c r="B28" i="19"/>
  <c r="B28" i="18" s="1"/>
  <c r="B28" i="20" s="1"/>
  <c r="B29" i="19"/>
  <c r="B29" i="18" s="1"/>
  <c r="B29" i="20" s="1"/>
  <c r="B10" i="19"/>
  <c r="B10" i="18" s="1"/>
  <c r="B10" i="20" s="1"/>
  <c r="B4" i="18"/>
  <c r="G67" i="86"/>
  <c r="H67" i="86"/>
  <c r="I67" i="86"/>
  <c r="G67" i="85"/>
  <c r="H67" i="85"/>
  <c r="I67" i="85"/>
  <c r="G67" i="84"/>
  <c r="H67" i="84"/>
  <c r="I67" i="84"/>
  <c r="G67" i="82"/>
  <c r="H67" i="82"/>
  <c r="I67" i="82"/>
  <c r="K67" i="82" s="1"/>
  <c r="G67" i="79"/>
  <c r="H67" i="79"/>
  <c r="I67" i="79"/>
  <c r="G67" i="83"/>
  <c r="H67" i="83"/>
  <c r="I67" i="83"/>
  <c r="G67" i="81"/>
  <c r="H67" i="81"/>
  <c r="I67" i="81"/>
  <c r="K67" i="81" s="1"/>
  <c r="G67" i="80"/>
  <c r="H67" i="80"/>
  <c r="L67" i="80" s="1"/>
  <c r="I67" i="80"/>
  <c r="G67" i="78"/>
  <c r="H67" i="78"/>
  <c r="I67" i="78"/>
  <c r="G67" i="77"/>
  <c r="H67" i="77"/>
  <c r="I67" i="77"/>
  <c r="G67" i="75"/>
  <c r="K67" i="75" s="1"/>
  <c r="H67" i="75"/>
  <c r="I67" i="75"/>
  <c r="G67" i="76"/>
  <c r="H67" i="76"/>
  <c r="I67" i="76"/>
  <c r="G67" i="74"/>
  <c r="H67" i="74"/>
  <c r="J67" i="74" s="1"/>
  <c r="I67" i="74"/>
  <c r="K67" i="74" s="1"/>
  <c r="G67" i="73"/>
  <c r="H67" i="73"/>
  <c r="I67" i="73"/>
  <c r="G67" i="72"/>
  <c r="H67" i="72"/>
  <c r="I67" i="72"/>
  <c r="G67" i="71"/>
  <c r="H67" i="71"/>
  <c r="I67" i="71"/>
  <c r="G67" i="68"/>
  <c r="H67" i="68"/>
  <c r="L67" i="68" s="1"/>
  <c r="I67" i="68"/>
  <c r="G67" i="70"/>
  <c r="K67" i="70" s="1"/>
  <c r="H67" i="70"/>
  <c r="I67" i="70"/>
  <c r="G67" i="69"/>
  <c r="H67" i="69"/>
  <c r="I67" i="69"/>
  <c r="G67" i="21"/>
  <c r="H67" i="21"/>
  <c r="I67" i="21"/>
  <c r="F8" i="16"/>
  <c r="F8" i="18" s="1"/>
  <c r="L8" i="16"/>
  <c r="L8" i="18" s="1"/>
  <c r="N8" i="16"/>
  <c r="N8" i="18" s="1"/>
  <c r="T8" i="16"/>
  <c r="T8" i="18" s="1"/>
  <c r="V8" i="16"/>
  <c r="V8" i="18" s="1"/>
  <c r="AB8" i="16"/>
  <c r="AB8" i="18" s="1"/>
  <c r="AD8" i="16"/>
  <c r="AD8" i="18" s="1"/>
  <c r="AJ8" i="16"/>
  <c r="AJ8" i="18" s="1"/>
  <c r="AL8" i="16"/>
  <c r="AL8" i="18" s="1"/>
  <c r="D8" i="16"/>
  <c r="D8" i="18" s="1"/>
  <c r="AA8" i="19"/>
  <c r="G8" i="17"/>
  <c r="G8" i="19" s="1"/>
  <c r="I8" i="17"/>
  <c r="I8" i="19" s="1"/>
  <c r="K8" i="17"/>
  <c r="K8" i="19" s="1"/>
  <c r="L8" i="17"/>
  <c r="L8" i="19" s="1"/>
  <c r="N8" i="17"/>
  <c r="N8" i="19" s="1"/>
  <c r="P8" i="17"/>
  <c r="P8" i="19" s="1"/>
  <c r="R8" i="17"/>
  <c r="R8" i="19" s="1"/>
  <c r="U8" i="17"/>
  <c r="U8" i="19" s="1"/>
  <c r="W8" i="17"/>
  <c r="W8" i="19" s="1"/>
  <c r="AC7" i="17"/>
  <c r="AD8" i="17"/>
  <c r="AA8" i="17"/>
  <c r="Y7" i="17"/>
  <c r="B11" i="17"/>
  <c r="B12" i="17"/>
  <c r="B13" i="17"/>
  <c r="B14" i="17"/>
  <c r="B15" i="17"/>
  <c r="B16" i="17"/>
  <c r="B17" i="17"/>
  <c r="B18" i="17"/>
  <c r="B19" i="17"/>
  <c r="B20" i="17"/>
  <c r="B21" i="17"/>
  <c r="B22" i="17"/>
  <c r="B23" i="17"/>
  <c r="B24" i="17"/>
  <c r="B25" i="17"/>
  <c r="B26" i="17"/>
  <c r="B27" i="17"/>
  <c r="B28" i="17"/>
  <c r="B29" i="17"/>
  <c r="B30" i="17"/>
  <c r="B10" i="17"/>
  <c r="B4" i="16"/>
  <c r="B35" i="86"/>
  <c r="R35" i="86" s="1"/>
  <c r="B34" i="86"/>
  <c r="B29" i="86"/>
  <c r="B28" i="86"/>
  <c r="B24" i="86"/>
  <c r="R24" i="86" s="1"/>
  <c r="B23" i="86"/>
  <c r="R23" i="86" s="1"/>
  <c r="B20" i="86"/>
  <c r="B47" i="86" s="1"/>
  <c r="B19" i="86"/>
  <c r="B16" i="86"/>
  <c r="B70" i="86" s="1"/>
  <c r="B15" i="86"/>
  <c r="K36" i="86"/>
  <c r="L36" i="86" s="1"/>
  <c r="H63" i="86" s="1"/>
  <c r="K35" i="86"/>
  <c r="L35" i="86" s="1"/>
  <c r="H62" i="86" s="1"/>
  <c r="K34" i="86"/>
  <c r="L34" i="86" s="1"/>
  <c r="H61" i="86" s="1"/>
  <c r="K32" i="86"/>
  <c r="L32" i="86" s="1"/>
  <c r="H59" i="86" s="1"/>
  <c r="K30" i="86"/>
  <c r="L30" i="86" s="1"/>
  <c r="H57" i="86" s="1"/>
  <c r="N14" i="86"/>
  <c r="U14" i="86" s="1"/>
  <c r="N35" i="86"/>
  <c r="U35" i="86" s="1"/>
  <c r="N36" i="86"/>
  <c r="U36" i="86" s="1"/>
  <c r="N13" i="86"/>
  <c r="U13" i="86" s="1"/>
  <c r="K29" i="86"/>
  <c r="L29" i="86" s="1"/>
  <c r="H56" i="86" s="1"/>
  <c r="N25" i="86"/>
  <c r="U25" i="86" s="1"/>
  <c r="N17" i="86"/>
  <c r="U17" i="86" s="1"/>
  <c r="N30" i="86"/>
  <c r="U30" i="86" s="1"/>
  <c r="N23" i="86"/>
  <c r="U23" i="86" s="1"/>
  <c r="N32" i="86"/>
  <c r="U32" i="86" s="1"/>
  <c r="N24" i="86"/>
  <c r="U24" i="86" s="1"/>
  <c r="U8" i="86"/>
  <c r="U10" i="86"/>
  <c r="U11" i="86"/>
  <c r="K14" i="86"/>
  <c r="L14" i="86" s="1"/>
  <c r="H41" i="86" s="1"/>
  <c r="K15" i="86"/>
  <c r="L15" i="86" s="1"/>
  <c r="H42" i="86" s="1"/>
  <c r="K16" i="86"/>
  <c r="L16" i="86" s="1"/>
  <c r="H43" i="86" s="1"/>
  <c r="K17" i="86"/>
  <c r="L17" i="86" s="1"/>
  <c r="H44" i="86" s="1"/>
  <c r="K18" i="86"/>
  <c r="L18" i="86" s="1"/>
  <c r="H45" i="86" s="1"/>
  <c r="K19" i="86"/>
  <c r="L19" i="86" s="1"/>
  <c r="H46" i="86" s="1"/>
  <c r="K20" i="86"/>
  <c r="L20" i="86" s="1"/>
  <c r="H47" i="86" s="1"/>
  <c r="K21" i="86"/>
  <c r="L21" i="86" s="1"/>
  <c r="H48" i="86" s="1"/>
  <c r="K22" i="86"/>
  <c r="L22" i="86" s="1"/>
  <c r="H49" i="86" s="1"/>
  <c r="K23" i="86"/>
  <c r="L23" i="86" s="1"/>
  <c r="H50" i="86" s="1"/>
  <c r="K24" i="86"/>
  <c r="L24" i="86" s="1"/>
  <c r="H51" i="86" s="1"/>
  <c r="K25" i="86"/>
  <c r="L25" i="86" s="1"/>
  <c r="H52" i="86" s="1"/>
  <c r="K27" i="86"/>
  <c r="L27" i="86" s="1"/>
  <c r="H54" i="86" s="1"/>
  <c r="K28" i="86"/>
  <c r="L28" i="86" s="1"/>
  <c r="H55" i="86" s="1"/>
  <c r="U7" i="86"/>
  <c r="N18" i="86"/>
  <c r="U18" i="86" s="1"/>
  <c r="N21" i="86"/>
  <c r="U21" i="86" s="1"/>
  <c r="N22" i="86"/>
  <c r="U22" i="86" s="1"/>
  <c r="N28" i="86"/>
  <c r="U28" i="86" s="1"/>
  <c r="N29" i="86"/>
  <c r="U29" i="86" s="1"/>
  <c r="B43" i="86"/>
  <c r="N34" i="86"/>
  <c r="U34" i="86" s="1"/>
  <c r="N27" i="86"/>
  <c r="U27" i="86" s="1"/>
  <c r="G39" i="86"/>
  <c r="B33" i="86"/>
  <c r="R33" i="86" s="1"/>
  <c r="B31" i="86"/>
  <c r="R31" i="86" s="1"/>
  <c r="B26" i="86"/>
  <c r="R26" i="86" s="1"/>
  <c r="N20" i="86"/>
  <c r="U20" i="86" s="1"/>
  <c r="N19" i="86"/>
  <c r="U19" i="86" s="1"/>
  <c r="N16" i="86"/>
  <c r="U16" i="86" s="1"/>
  <c r="N15" i="86"/>
  <c r="U15" i="86" s="1"/>
  <c r="W12" i="86"/>
  <c r="U12" i="86"/>
  <c r="B12" i="86"/>
  <c r="N11" i="86"/>
  <c r="K11" i="86"/>
  <c r="B10" i="86"/>
  <c r="R10" i="86" s="1"/>
  <c r="U9" i="86"/>
  <c r="B9" i="86"/>
  <c r="R9" i="86" s="1"/>
  <c r="B8" i="86"/>
  <c r="R8" i="86" s="1"/>
  <c r="U6" i="86"/>
  <c r="B6" i="86"/>
  <c r="R6" i="86" s="1"/>
  <c r="U5" i="86"/>
  <c r="U4" i="86"/>
  <c r="B4" i="86"/>
  <c r="R4" i="86" s="1"/>
  <c r="B35" i="85"/>
  <c r="B34" i="85"/>
  <c r="B32" i="85"/>
  <c r="B84" i="85" s="1"/>
  <c r="B29" i="85"/>
  <c r="B56" i="85" s="1"/>
  <c r="B28" i="85"/>
  <c r="B55" i="85" s="1"/>
  <c r="B27" i="85"/>
  <c r="B80" i="85" s="1"/>
  <c r="B24" i="85"/>
  <c r="B23" i="85"/>
  <c r="B50" i="85" s="1"/>
  <c r="B22" i="85"/>
  <c r="R22" i="85" s="1"/>
  <c r="B20" i="85"/>
  <c r="B19" i="85"/>
  <c r="B18" i="85"/>
  <c r="R18" i="85" s="1"/>
  <c r="B16" i="85"/>
  <c r="B15" i="85"/>
  <c r="B42" i="85" s="1"/>
  <c r="B14" i="85"/>
  <c r="K36" i="85"/>
  <c r="L36" i="85" s="1"/>
  <c r="H63" i="85" s="1"/>
  <c r="K35" i="85"/>
  <c r="L35" i="85" s="1"/>
  <c r="H62" i="85" s="1"/>
  <c r="K34" i="85"/>
  <c r="L34" i="85" s="1"/>
  <c r="H61" i="85" s="1"/>
  <c r="K32" i="85"/>
  <c r="L32" i="85" s="1"/>
  <c r="H59" i="85" s="1"/>
  <c r="K30" i="85"/>
  <c r="L30" i="85" s="1"/>
  <c r="H57" i="85" s="1"/>
  <c r="N14" i="85"/>
  <c r="U14" i="85" s="1"/>
  <c r="N35" i="85"/>
  <c r="U35" i="85" s="1"/>
  <c r="N36" i="85"/>
  <c r="U36" i="85" s="1"/>
  <c r="N13" i="85"/>
  <c r="U13" i="85" s="1"/>
  <c r="K29" i="85"/>
  <c r="L29" i="85" s="1"/>
  <c r="H56" i="85" s="1"/>
  <c r="N25" i="85"/>
  <c r="U25" i="85" s="1"/>
  <c r="N17" i="85"/>
  <c r="U17" i="85" s="1"/>
  <c r="N30" i="85"/>
  <c r="U30" i="85" s="1"/>
  <c r="N23" i="85"/>
  <c r="U23" i="85" s="1"/>
  <c r="N32" i="85"/>
  <c r="U32" i="85" s="1"/>
  <c r="N24" i="85"/>
  <c r="U24" i="85" s="1"/>
  <c r="U8" i="85"/>
  <c r="U10" i="85"/>
  <c r="U11" i="85"/>
  <c r="K14" i="85"/>
  <c r="L14" i="85" s="1"/>
  <c r="H41" i="85" s="1"/>
  <c r="K15" i="85"/>
  <c r="L15" i="85" s="1"/>
  <c r="H42" i="85" s="1"/>
  <c r="K16" i="85"/>
  <c r="L16" i="85" s="1"/>
  <c r="H43" i="85" s="1"/>
  <c r="K17" i="85"/>
  <c r="L17" i="85" s="1"/>
  <c r="H44" i="85" s="1"/>
  <c r="K18" i="85"/>
  <c r="L18" i="85" s="1"/>
  <c r="H45" i="85" s="1"/>
  <c r="K19" i="85"/>
  <c r="L19" i="85" s="1"/>
  <c r="H46" i="85" s="1"/>
  <c r="K20" i="85"/>
  <c r="L20" i="85" s="1"/>
  <c r="H47" i="85" s="1"/>
  <c r="K21" i="85"/>
  <c r="L21" i="85" s="1"/>
  <c r="H48" i="85" s="1"/>
  <c r="K22" i="85"/>
  <c r="L22" i="85" s="1"/>
  <c r="H49" i="85" s="1"/>
  <c r="K23" i="85"/>
  <c r="L23" i="85" s="1"/>
  <c r="H50" i="85" s="1"/>
  <c r="K24" i="85"/>
  <c r="L24" i="85" s="1"/>
  <c r="H51" i="85" s="1"/>
  <c r="K25" i="85"/>
  <c r="L25" i="85" s="1"/>
  <c r="H52" i="85" s="1"/>
  <c r="K27" i="85"/>
  <c r="L27" i="85" s="1"/>
  <c r="H54" i="85" s="1"/>
  <c r="K28" i="85"/>
  <c r="L28" i="85" s="1"/>
  <c r="H55" i="85" s="1"/>
  <c r="U7" i="85"/>
  <c r="N18" i="85"/>
  <c r="U18" i="85" s="1"/>
  <c r="N21" i="85"/>
  <c r="U21" i="85" s="1"/>
  <c r="N22" i="85"/>
  <c r="U22" i="85" s="1"/>
  <c r="N28" i="85"/>
  <c r="U28" i="85" s="1"/>
  <c r="N29" i="85"/>
  <c r="U29" i="85" s="1"/>
  <c r="N34" i="85"/>
  <c r="U34" i="85" s="1"/>
  <c r="N27" i="85"/>
  <c r="U27" i="85" s="1"/>
  <c r="G39" i="85"/>
  <c r="B33" i="85"/>
  <c r="R33" i="85" s="1"/>
  <c r="N20" i="85"/>
  <c r="U20" i="85" s="1"/>
  <c r="N19" i="85"/>
  <c r="U19" i="85" s="1"/>
  <c r="N16" i="85"/>
  <c r="U16" i="85" s="1"/>
  <c r="N15" i="85"/>
  <c r="U15" i="85" s="1"/>
  <c r="U12" i="85"/>
  <c r="B12" i="85"/>
  <c r="B11" i="85"/>
  <c r="R11" i="85" s="1"/>
  <c r="N11" i="85"/>
  <c r="K11" i="85"/>
  <c r="B10" i="85"/>
  <c r="R10" i="85" s="1"/>
  <c r="U9" i="85"/>
  <c r="B9" i="85"/>
  <c r="R9" i="85" s="1"/>
  <c r="B8" i="85"/>
  <c r="R8" i="85" s="1"/>
  <c r="U6" i="85"/>
  <c r="B6" i="85"/>
  <c r="R6" i="85" s="1"/>
  <c r="U5" i="85"/>
  <c r="B5" i="85"/>
  <c r="R5" i="85" s="1"/>
  <c r="U4" i="85"/>
  <c r="B4" i="85"/>
  <c r="R4" i="85" s="1"/>
  <c r="R2" i="85"/>
  <c r="B2" i="85"/>
  <c r="B36" i="84"/>
  <c r="R36" i="84" s="1"/>
  <c r="B35" i="84"/>
  <c r="B34" i="84"/>
  <c r="B32" i="84"/>
  <c r="B59" i="84" s="1"/>
  <c r="B30" i="84"/>
  <c r="B29" i="84"/>
  <c r="B28" i="84"/>
  <c r="B27" i="84"/>
  <c r="B80" i="84" s="1"/>
  <c r="B25" i="84"/>
  <c r="B24" i="84"/>
  <c r="B78" i="84"/>
  <c r="B23" i="84"/>
  <c r="R23" i="84" s="1"/>
  <c r="B22" i="84"/>
  <c r="B76" i="84" s="1"/>
  <c r="B21" i="84"/>
  <c r="B20" i="84"/>
  <c r="B19" i="84"/>
  <c r="B73" i="84" s="1"/>
  <c r="B18" i="84"/>
  <c r="B72" i="84" s="1"/>
  <c r="B17" i="84"/>
  <c r="B71" i="84" s="1"/>
  <c r="B16" i="84"/>
  <c r="B15" i="84"/>
  <c r="R15" i="84" s="1"/>
  <c r="B14" i="84"/>
  <c r="B68" i="84" s="1"/>
  <c r="B13" i="84"/>
  <c r="R13" i="84" s="1"/>
  <c r="K36" i="84"/>
  <c r="L36" i="84" s="1"/>
  <c r="H63" i="84" s="1"/>
  <c r="K35" i="84"/>
  <c r="L35" i="84" s="1"/>
  <c r="H62" i="84" s="1"/>
  <c r="K34" i="84"/>
  <c r="L34" i="84" s="1"/>
  <c r="H61" i="84" s="1"/>
  <c r="K32" i="84"/>
  <c r="L32" i="84" s="1"/>
  <c r="H59" i="84" s="1"/>
  <c r="K30" i="84"/>
  <c r="L30" i="84" s="1"/>
  <c r="H57" i="84" s="1"/>
  <c r="B57" i="84"/>
  <c r="K29" i="84"/>
  <c r="L29" i="84" s="1"/>
  <c r="H56" i="84" s="1"/>
  <c r="K14" i="84"/>
  <c r="L14" i="84" s="1"/>
  <c r="K15" i="84"/>
  <c r="L15" i="84" s="1"/>
  <c r="H42" i="84" s="1"/>
  <c r="K16" i="84"/>
  <c r="L16" i="84" s="1"/>
  <c r="H43" i="84" s="1"/>
  <c r="K17" i="84"/>
  <c r="L17" i="84" s="1"/>
  <c r="H44" i="84" s="1"/>
  <c r="K18" i="84"/>
  <c r="L18" i="84" s="1"/>
  <c r="H45" i="84" s="1"/>
  <c r="K19" i="84"/>
  <c r="L19" i="84" s="1"/>
  <c r="H46" i="84" s="1"/>
  <c r="K20" i="84"/>
  <c r="L20" i="84" s="1"/>
  <c r="H47" i="84" s="1"/>
  <c r="K21" i="84"/>
  <c r="L21" i="84" s="1"/>
  <c r="H48" i="84" s="1"/>
  <c r="K22" i="84"/>
  <c r="L22" i="84" s="1"/>
  <c r="H49" i="84" s="1"/>
  <c r="K23" i="84"/>
  <c r="L23" i="84" s="1"/>
  <c r="H50" i="84" s="1"/>
  <c r="K24" i="84"/>
  <c r="L24" i="84" s="1"/>
  <c r="H51" i="84" s="1"/>
  <c r="K25" i="84"/>
  <c r="L25" i="84" s="1"/>
  <c r="H52" i="84" s="1"/>
  <c r="K27" i="84"/>
  <c r="L27" i="84" s="1"/>
  <c r="H54" i="84" s="1"/>
  <c r="K28" i="84"/>
  <c r="L28" i="84" s="1"/>
  <c r="H55" i="84" s="1"/>
  <c r="B51" i="84"/>
  <c r="B49" i="84"/>
  <c r="B41" i="84"/>
  <c r="H39" i="84"/>
  <c r="G39" i="84"/>
  <c r="B33" i="84"/>
  <c r="R33" i="84" s="1"/>
  <c r="B31" i="84"/>
  <c r="R31" i="84" s="1"/>
  <c r="R29" i="84"/>
  <c r="R28" i="84"/>
  <c r="B26" i="84"/>
  <c r="R26" i="84" s="1"/>
  <c r="R24" i="84"/>
  <c r="N20" i="84"/>
  <c r="U20" i="84" s="1"/>
  <c r="N19" i="84"/>
  <c r="U19" i="84" s="1"/>
  <c r="R17" i="84"/>
  <c r="N16" i="84"/>
  <c r="U16" i="84" s="1"/>
  <c r="N15" i="84"/>
  <c r="U15" i="84" s="1"/>
  <c r="W12" i="84"/>
  <c r="U12" i="84"/>
  <c r="B12" i="84"/>
  <c r="B11" i="84"/>
  <c r="R11" i="84" s="1"/>
  <c r="N11" i="84"/>
  <c r="K11" i="84"/>
  <c r="B10" i="84"/>
  <c r="R10" i="84" s="1"/>
  <c r="U9" i="84"/>
  <c r="B9" i="84"/>
  <c r="R9" i="84" s="1"/>
  <c r="B8" i="84"/>
  <c r="R8" i="84" s="1"/>
  <c r="B7" i="84"/>
  <c r="R7" i="84" s="1"/>
  <c r="U6" i="84"/>
  <c r="B6" i="84"/>
  <c r="R6" i="84" s="1"/>
  <c r="U5" i="84"/>
  <c r="B5" i="84"/>
  <c r="R5" i="84" s="1"/>
  <c r="U4" i="84"/>
  <c r="B4" i="84"/>
  <c r="R4" i="84" s="1"/>
  <c r="R2" i="84"/>
  <c r="B2" i="84"/>
  <c r="B36" i="83"/>
  <c r="B35" i="83"/>
  <c r="B86" i="83" s="1"/>
  <c r="B34" i="83"/>
  <c r="B32" i="83"/>
  <c r="B59" i="83" s="1"/>
  <c r="B30" i="83"/>
  <c r="B29" i="83"/>
  <c r="B28" i="83"/>
  <c r="B27" i="83"/>
  <c r="B25" i="83"/>
  <c r="B79" i="83" s="1"/>
  <c r="B24" i="83"/>
  <c r="B78" i="83" s="1"/>
  <c r="B23" i="83"/>
  <c r="R23" i="83" s="1"/>
  <c r="B22" i="83"/>
  <c r="B21" i="83"/>
  <c r="B20" i="83"/>
  <c r="B74" i="83" s="1"/>
  <c r="B19" i="83"/>
  <c r="R19" i="83" s="1"/>
  <c r="B18" i="83"/>
  <c r="B45" i="83" s="1"/>
  <c r="B17" i="83"/>
  <c r="B16" i="83"/>
  <c r="B15" i="83"/>
  <c r="R15" i="83" s="1"/>
  <c r="B14" i="83"/>
  <c r="B68" i="83" s="1"/>
  <c r="B13" i="83"/>
  <c r="K36" i="83"/>
  <c r="L36" i="83" s="1"/>
  <c r="H63" i="83" s="1"/>
  <c r="K35" i="83"/>
  <c r="L35" i="83" s="1"/>
  <c r="H62" i="83" s="1"/>
  <c r="K34" i="83"/>
  <c r="L34" i="83" s="1"/>
  <c r="H61" i="83" s="1"/>
  <c r="K32" i="83"/>
  <c r="L32" i="83" s="1"/>
  <c r="H59" i="83" s="1"/>
  <c r="K30" i="83"/>
  <c r="L30" i="83" s="1"/>
  <c r="H57" i="83" s="1"/>
  <c r="K29" i="83"/>
  <c r="L29" i="83" s="1"/>
  <c r="H56" i="83" s="1"/>
  <c r="K14" i="83"/>
  <c r="L14" i="83" s="1"/>
  <c r="H41" i="83" s="1"/>
  <c r="K15" i="83"/>
  <c r="L15" i="83" s="1"/>
  <c r="H42" i="83" s="1"/>
  <c r="K16" i="83"/>
  <c r="L16" i="83" s="1"/>
  <c r="H43" i="83" s="1"/>
  <c r="K17" i="83"/>
  <c r="L17" i="83" s="1"/>
  <c r="H44" i="83" s="1"/>
  <c r="K18" i="83"/>
  <c r="L18" i="83" s="1"/>
  <c r="H45" i="83" s="1"/>
  <c r="K19" i="83"/>
  <c r="L19" i="83" s="1"/>
  <c r="H46" i="83" s="1"/>
  <c r="K20" i="83"/>
  <c r="L20" i="83" s="1"/>
  <c r="H47" i="83" s="1"/>
  <c r="K21" i="83"/>
  <c r="L21" i="83" s="1"/>
  <c r="H48" i="83" s="1"/>
  <c r="K22" i="83"/>
  <c r="L22" i="83" s="1"/>
  <c r="H49" i="83" s="1"/>
  <c r="K23" i="83"/>
  <c r="L23" i="83" s="1"/>
  <c r="H50" i="83" s="1"/>
  <c r="K24" i="83"/>
  <c r="L24" i="83" s="1"/>
  <c r="H51" i="83" s="1"/>
  <c r="K25" i="83"/>
  <c r="L25" i="83" s="1"/>
  <c r="H52" i="83" s="1"/>
  <c r="K27" i="83"/>
  <c r="L27" i="83" s="1"/>
  <c r="H54" i="83" s="1"/>
  <c r="K28" i="83"/>
  <c r="L28" i="83" s="1"/>
  <c r="H55" i="83" s="1"/>
  <c r="H39" i="83"/>
  <c r="G39" i="83"/>
  <c r="B33" i="83"/>
  <c r="R33" i="83"/>
  <c r="B31" i="83"/>
  <c r="R31" i="83" s="1"/>
  <c r="B26" i="83"/>
  <c r="R26" i="83" s="1"/>
  <c r="N20" i="83"/>
  <c r="U20" i="83" s="1"/>
  <c r="N19" i="83"/>
  <c r="U19" i="83"/>
  <c r="N16" i="83"/>
  <c r="U16" i="83" s="1"/>
  <c r="N15" i="83"/>
  <c r="U15" i="83" s="1"/>
  <c r="R14" i="83"/>
  <c r="W12" i="83"/>
  <c r="U12" i="83"/>
  <c r="B12" i="83"/>
  <c r="B11" i="83"/>
  <c r="R11" i="83" s="1"/>
  <c r="N11" i="83"/>
  <c r="K11" i="83"/>
  <c r="B10" i="83"/>
  <c r="R10" i="83" s="1"/>
  <c r="U9" i="83"/>
  <c r="B9" i="83"/>
  <c r="R9" i="83" s="1"/>
  <c r="B8" i="83"/>
  <c r="R8" i="83" s="1"/>
  <c r="B7" i="83"/>
  <c r="R7" i="83" s="1"/>
  <c r="U6" i="83"/>
  <c r="B6" i="83"/>
  <c r="R6" i="83" s="1"/>
  <c r="U5" i="83"/>
  <c r="B5" i="83"/>
  <c r="R5" i="83" s="1"/>
  <c r="U4" i="83"/>
  <c r="B4" i="83"/>
  <c r="R4" i="83"/>
  <c r="R2" i="83"/>
  <c r="B2" i="83"/>
  <c r="B36" i="82"/>
  <c r="B35" i="82"/>
  <c r="B34" i="82"/>
  <c r="B61" i="82" s="1"/>
  <c r="B32" i="82"/>
  <c r="B30" i="82"/>
  <c r="B83" i="82" s="1"/>
  <c r="B29" i="82"/>
  <c r="B28" i="82"/>
  <c r="B55" i="82" s="1"/>
  <c r="B81" i="82"/>
  <c r="B27" i="82"/>
  <c r="B25" i="82"/>
  <c r="B79" i="82" s="1"/>
  <c r="B24" i="82"/>
  <c r="B23" i="82"/>
  <c r="B50" i="82" s="1"/>
  <c r="B22" i="82"/>
  <c r="B21" i="82"/>
  <c r="B48" i="82" s="1"/>
  <c r="B20" i="82"/>
  <c r="B19" i="82"/>
  <c r="B46" i="82" s="1"/>
  <c r="B18" i="82"/>
  <c r="B17" i="82"/>
  <c r="B71" i="82" s="1"/>
  <c r="B16" i="82"/>
  <c r="B15" i="82"/>
  <c r="B42" i="82" s="1"/>
  <c r="B14" i="82"/>
  <c r="B13" i="82"/>
  <c r="B40" i="82" s="1"/>
  <c r="B67" i="82"/>
  <c r="K36" i="82"/>
  <c r="L36" i="82" s="1"/>
  <c r="H63" i="82" s="1"/>
  <c r="K35" i="82"/>
  <c r="L35" i="82" s="1"/>
  <c r="H62" i="82" s="1"/>
  <c r="K34" i="82"/>
  <c r="L34" i="82" s="1"/>
  <c r="H61" i="82" s="1"/>
  <c r="K32" i="82"/>
  <c r="L32" i="82" s="1"/>
  <c r="H59" i="82" s="1"/>
  <c r="K30" i="82"/>
  <c r="L30" i="82" s="1"/>
  <c r="H57" i="82" s="1"/>
  <c r="K29" i="82"/>
  <c r="L29" i="82" s="1"/>
  <c r="H56" i="82" s="1"/>
  <c r="K14" i="82"/>
  <c r="L14" i="82"/>
  <c r="H41" i="82" s="1"/>
  <c r="K15" i="82"/>
  <c r="L15" i="82" s="1"/>
  <c r="H42" i="82" s="1"/>
  <c r="K16" i="82"/>
  <c r="L16" i="82" s="1"/>
  <c r="H43" i="82" s="1"/>
  <c r="K17" i="82"/>
  <c r="L17" i="82" s="1"/>
  <c r="H44" i="82" s="1"/>
  <c r="K18" i="82"/>
  <c r="L18" i="82" s="1"/>
  <c r="H45" i="82" s="1"/>
  <c r="K19" i="82"/>
  <c r="L19" i="82" s="1"/>
  <c r="H46" i="82" s="1"/>
  <c r="K20" i="82"/>
  <c r="L20" i="82" s="1"/>
  <c r="H47" i="82" s="1"/>
  <c r="K21" i="82"/>
  <c r="L21" i="82" s="1"/>
  <c r="H48" i="82" s="1"/>
  <c r="K22" i="82"/>
  <c r="L22" i="82" s="1"/>
  <c r="H49" i="82" s="1"/>
  <c r="K23" i="82"/>
  <c r="L23" i="82" s="1"/>
  <c r="H50" i="82" s="1"/>
  <c r="K24" i="82"/>
  <c r="L24" i="82" s="1"/>
  <c r="H51" i="82" s="1"/>
  <c r="K25" i="82"/>
  <c r="L25" i="82" s="1"/>
  <c r="H52" i="82" s="1"/>
  <c r="K27" i="82"/>
  <c r="L27" i="82" s="1"/>
  <c r="H54" i="82" s="1"/>
  <c r="K28" i="82"/>
  <c r="L28" i="82" s="1"/>
  <c r="H55" i="82" s="1"/>
  <c r="B52" i="82"/>
  <c r="B44" i="82"/>
  <c r="H39" i="82"/>
  <c r="G39" i="82"/>
  <c r="B33" i="82"/>
  <c r="R33" i="82" s="1"/>
  <c r="B31" i="82"/>
  <c r="R31" i="82" s="1"/>
  <c r="R29" i="82"/>
  <c r="R28" i="82"/>
  <c r="B26" i="82"/>
  <c r="R26" i="82" s="1"/>
  <c r="R25" i="82"/>
  <c r="N20" i="82"/>
  <c r="U20" i="82" s="1"/>
  <c r="N19" i="82"/>
  <c r="U19" i="82" s="1"/>
  <c r="W19" i="82" s="1"/>
  <c r="N16" i="82"/>
  <c r="U16" i="82" s="1"/>
  <c r="N15" i="82"/>
  <c r="U15" i="82" s="1"/>
  <c r="W12" i="82"/>
  <c r="U12" i="82"/>
  <c r="B12" i="82"/>
  <c r="B11" i="82"/>
  <c r="R11" i="82" s="1"/>
  <c r="N11" i="82"/>
  <c r="K11" i="82"/>
  <c r="B10" i="82"/>
  <c r="R10" i="82" s="1"/>
  <c r="U9" i="82"/>
  <c r="B9" i="82"/>
  <c r="R9" i="82" s="1"/>
  <c r="B8" i="82"/>
  <c r="R8" i="82"/>
  <c r="B7" i="82"/>
  <c r="R7" i="82" s="1"/>
  <c r="U6" i="82"/>
  <c r="B6" i="82"/>
  <c r="R6" i="82" s="1"/>
  <c r="U5" i="82"/>
  <c r="B5" i="82"/>
  <c r="R5" i="82" s="1"/>
  <c r="U4" i="82"/>
  <c r="B4" i="82"/>
  <c r="R4" i="82" s="1"/>
  <c r="R2" i="82"/>
  <c r="B2" i="82"/>
  <c r="B36" i="81"/>
  <c r="B87" i="81" s="1"/>
  <c r="B35" i="81"/>
  <c r="B34" i="81"/>
  <c r="B85" i="81" s="1"/>
  <c r="B32" i="81"/>
  <c r="B30" i="81"/>
  <c r="B83" i="81" s="1"/>
  <c r="B29" i="81"/>
  <c r="B28" i="81"/>
  <c r="R28" i="81" s="1"/>
  <c r="B27" i="81"/>
  <c r="B80" i="81" s="1"/>
  <c r="B25" i="81"/>
  <c r="B24" i="81"/>
  <c r="B23" i="81"/>
  <c r="B50" i="81" s="1"/>
  <c r="B22" i="81"/>
  <c r="B76" i="81" s="1"/>
  <c r="B21" i="81"/>
  <c r="B75" i="81" s="1"/>
  <c r="B20" i="81"/>
  <c r="B19" i="81"/>
  <c r="B73" i="81" s="1"/>
  <c r="B18" i="81"/>
  <c r="B17" i="81"/>
  <c r="B16" i="81"/>
  <c r="B15" i="81"/>
  <c r="B69" i="81" s="1"/>
  <c r="B14" i="81"/>
  <c r="B13" i="81"/>
  <c r="K36" i="81"/>
  <c r="L36" i="81" s="1"/>
  <c r="H63" i="81" s="1"/>
  <c r="B63" i="81"/>
  <c r="K35" i="81"/>
  <c r="L35" i="81" s="1"/>
  <c r="H62" i="81" s="1"/>
  <c r="K34" i="81"/>
  <c r="L34" i="81" s="1"/>
  <c r="H61" i="81" s="1"/>
  <c r="K32" i="81"/>
  <c r="L32" i="81" s="1"/>
  <c r="H59" i="81" s="1"/>
  <c r="B59" i="81"/>
  <c r="K30" i="81"/>
  <c r="L30" i="81" s="1"/>
  <c r="H57" i="81" s="1"/>
  <c r="B57" i="81"/>
  <c r="K29" i="81"/>
  <c r="L29" i="81" s="1"/>
  <c r="H56" i="81" s="1"/>
  <c r="K14" i="81"/>
  <c r="L14" i="81" s="1"/>
  <c r="H41" i="81" s="1"/>
  <c r="K15" i="81"/>
  <c r="L15" i="81" s="1"/>
  <c r="H42" i="81" s="1"/>
  <c r="K16" i="81"/>
  <c r="L16" i="81" s="1"/>
  <c r="H43" i="81" s="1"/>
  <c r="K17" i="81"/>
  <c r="L17" i="81" s="1"/>
  <c r="H44" i="81" s="1"/>
  <c r="K18" i="81"/>
  <c r="L18" i="81" s="1"/>
  <c r="H45" i="81" s="1"/>
  <c r="K19" i="81"/>
  <c r="L19" i="81" s="1"/>
  <c r="H46" i="81" s="1"/>
  <c r="K20" i="81"/>
  <c r="L20" i="81" s="1"/>
  <c r="H47" i="81" s="1"/>
  <c r="K21" i="81"/>
  <c r="L21" i="81" s="1"/>
  <c r="H48" i="81" s="1"/>
  <c r="K22" i="81"/>
  <c r="L22" i="81"/>
  <c r="H49" i="81" s="1"/>
  <c r="K23" i="81"/>
  <c r="L23" i="81" s="1"/>
  <c r="H50" i="81" s="1"/>
  <c r="K24" i="81"/>
  <c r="L24" i="81"/>
  <c r="H51" i="81" s="1"/>
  <c r="K25" i="81"/>
  <c r="L25" i="81" s="1"/>
  <c r="H52" i="81" s="1"/>
  <c r="K27" i="81"/>
  <c r="L27" i="81" s="1"/>
  <c r="H54" i="81" s="1"/>
  <c r="K28" i="81"/>
  <c r="L28" i="81"/>
  <c r="H55" i="81" s="1"/>
  <c r="B49" i="81"/>
  <c r="B48" i="81"/>
  <c r="H39" i="81"/>
  <c r="G39" i="81"/>
  <c r="B33" i="81"/>
  <c r="R33" i="81" s="1"/>
  <c r="B31" i="81"/>
  <c r="R31" i="81" s="1"/>
  <c r="B26" i="81"/>
  <c r="R26" i="81" s="1"/>
  <c r="R22" i="81"/>
  <c r="R21" i="81"/>
  <c r="N20" i="81"/>
  <c r="U20" i="81" s="1"/>
  <c r="N19" i="81"/>
  <c r="U19" i="81" s="1"/>
  <c r="N16" i="81"/>
  <c r="U16" i="81" s="1"/>
  <c r="N15" i="81"/>
  <c r="U15" i="81" s="1"/>
  <c r="W12" i="81"/>
  <c r="U12" i="81"/>
  <c r="B12" i="81"/>
  <c r="B11" i="81"/>
  <c r="R11" i="81" s="1"/>
  <c r="N11" i="81"/>
  <c r="K11" i="81"/>
  <c r="B10" i="81"/>
  <c r="R10" i="81" s="1"/>
  <c r="U9" i="81"/>
  <c r="B9" i="81"/>
  <c r="R9" i="81" s="1"/>
  <c r="B8" i="81"/>
  <c r="R8" i="81" s="1"/>
  <c r="B7" i="81"/>
  <c r="R7" i="81" s="1"/>
  <c r="U6" i="81"/>
  <c r="B6" i="81"/>
  <c r="R6" i="81"/>
  <c r="U5" i="81"/>
  <c r="B5" i="81"/>
  <c r="R5" i="81" s="1"/>
  <c r="U4" i="81"/>
  <c r="B4" i="81"/>
  <c r="R4" i="81" s="1"/>
  <c r="R2" i="81"/>
  <c r="B2" i="81"/>
  <c r="B36" i="80"/>
  <c r="R36" i="80" s="1"/>
  <c r="B35" i="80"/>
  <c r="B34" i="80"/>
  <c r="R34" i="80" s="1"/>
  <c r="B32" i="80"/>
  <c r="B84" i="80" s="1"/>
  <c r="B30" i="80"/>
  <c r="B29" i="80"/>
  <c r="B28" i="80"/>
  <c r="B55" i="80" s="1"/>
  <c r="B27" i="80"/>
  <c r="R27" i="80" s="1"/>
  <c r="B80" i="80"/>
  <c r="B25" i="80"/>
  <c r="B24" i="80"/>
  <c r="B23" i="80"/>
  <c r="R23" i="80" s="1"/>
  <c r="B22" i="80"/>
  <c r="R22" i="80" s="1"/>
  <c r="B76" i="80"/>
  <c r="B21" i="80"/>
  <c r="R21" i="80" s="1"/>
  <c r="B20" i="80"/>
  <c r="R20" i="80" s="1"/>
  <c r="B19" i="80"/>
  <c r="B18" i="80"/>
  <c r="B17" i="80"/>
  <c r="B16" i="80"/>
  <c r="B15" i="80"/>
  <c r="R15" i="80" s="1"/>
  <c r="B14" i="80"/>
  <c r="B13" i="80"/>
  <c r="K36" i="80"/>
  <c r="L36" i="80" s="1"/>
  <c r="H63" i="80" s="1"/>
  <c r="K35" i="80"/>
  <c r="L35" i="80" s="1"/>
  <c r="H62" i="80" s="1"/>
  <c r="B62" i="80"/>
  <c r="K34" i="80"/>
  <c r="L34" i="80" s="1"/>
  <c r="H61" i="80" s="1"/>
  <c r="K32" i="80"/>
  <c r="L32" i="80" s="1"/>
  <c r="H59" i="80" s="1"/>
  <c r="K30" i="80"/>
  <c r="L30" i="80" s="1"/>
  <c r="H57" i="80" s="1"/>
  <c r="K29" i="80"/>
  <c r="L29" i="80" s="1"/>
  <c r="H56" i="80" s="1"/>
  <c r="K14" i="80"/>
  <c r="L14" i="80" s="1"/>
  <c r="K15" i="80"/>
  <c r="L15" i="80" s="1"/>
  <c r="H42" i="80" s="1"/>
  <c r="K16" i="80"/>
  <c r="L16" i="80" s="1"/>
  <c r="H43" i="80" s="1"/>
  <c r="K17" i="80"/>
  <c r="L17" i="80" s="1"/>
  <c r="H44" i="80" s="1"/>
  <c r="K18" i="80"/>
  <c r="L18" i="80"/>
  <c r="H45" i="80" s="1"/>
  <c r="K19" i="80"/>
  <c r="L19" i="80" s="1"/>
  <c r="H46" i="80" s="1"/>
  <c r="K20" i="80"/>
  <c r="L20" i="80"/>
  <c r="H47" i="80" s="1"/>
  <c r="K21" i="80"/>
  <c r="L21" i="80" s="1"/>
  <c r="H48" i="80" s="1"/>
  <c r="K22" i="80"/>
  <c r="L22" i="80" s="1"/>
  <c r="H49" i="80" s="1"/>
  <c r="K23" i="80"/>
  <c r="L23" i="80"/>
  <c r="H50" i="80" s="1"/>
  <c r="K24" i="80"/>
  <c r="L24" i="80" s="1"/>
  <c r="H51" i="80" s="1"/>
  <c r="K25" i="80"/>
  <c r="L25" i="80" s="1"/>
  <c r="H52" i="80" s="1"/>
  <c r="K27" i="80"/>
  <c r="L27" i="80" s="1"/>
  <c r="H54" i="80" s="1"/>
  <c r="K28" i="80"/>
  <c r="L28" i="80" s="1"/>
  <c r="H55" i="80" s="1"/>
  <c r="B54" i="80"/>
  <c r="B49" i="80"/>
  <c r="H39" i="80"/>
  <c r="G39" i="80"/>
  <c r="B33" i="80"/>
  <c r="R33" i="80" s="1"/>
  <c r="B31" i="80"/>
  <c r="R31" i="80" s="1"/>
  <c r="B26" i="80"/>
  <c r="R26" i="80" s="1"/>
  <c r="N20" i="80"/>
  <c r="U20" i="80" s="1"/>
  <c r="N19" i="80"/>
  <c r="U19" i="80"/>
  <c r="N16" i="80"/>
  <c r="U16" i="80" s="1"/>
  <c r="R16" i="80"/>
  <c r="N15" i="80"/>
  <c r="U15" i="80" s="1"/>
  <c r="W12" i="80"/>
  <c r="U12" i="80"/>
  <c r="B12" i="80"/>
  <c r="B11" i="80"/>
  <c r="R11" i="80" s="1"/>
  <c r="N11" i="80"/>
  <c r="K11" i="80"/>
  <c r="B10" i="80"/>
  <c r="R10" i="80" s="1"/>
  <c r="U9" i="80"/>
  <c r="B9" i="80"/>
  <c r="R9" i="80" s="1"/>
  <c r="B8" i="80"/>
  <c r="R8" i="80" s="1"/>
  <c r="B7" i="80"/>
  <c r="R7" i="80" s="1"/>
  <c r="U6" i="80"/>
  <c r="B6" i="80"/>
  <c r="R6" i="80" s="1"/>
  <c r="U5" i="80"/>
  <c r="B5" i="80"/>
  <c r="R5" i="80"/>
  <c r="U4" i="80"/>
  <c r="B4" i="80"/>
  <c r="R4" i="80" s="1"/>
  <c r="R2" i="80"/>
  <c r="B2" i="80"/>
  <c r="B36" i="79"/>
  <c r="B63" i="79" s="1"/>
  <c r="B35" i="79"/>
  <c r="B34" i="79"/>
  <c r="B32" i="79"/>
  <c r="B30" i="79"/>
  <c r="B29" i="79"/>
  <c r="B28" i="79"/>
  <c r="B81" i="79" s="1"/>
  <c r="B27" i="79"/>
  <c r="B54" i="79" s="1"/>
  <c r="B25" i="79"/>
  <c r="B24" i="79"/>
  <c r="B78" i="79" s="1"/>
  <c r="B23" i="79"/>
  <c r="B22" i="79"/>
  <c r="B76" i="79" s="1"/>
  <c r="B21" i="79"/>
  <c r="B20" i="79"/>
  <c r="B19" i="79"/>
  <c r="B73" i="79" s="1"/>
  <c r="B18" i="79"/>
  <c r="B72" i="79" s="1"/>
  <c r="B17" i="79"/>
  <c r="R17" i="79" s="1"/>
  <c r="B16" i="79"/>
  <c r="B15" i="79"/>
  <c r="B69" i="79" s="1"/>
  <c r="B14" i="79"/>
  <c r="B41" i="79" s="1"/>
  <c r="B13" i="79"/>
  <c r="K36" i="79"/>
  <c r="L36" i="79" s="1"/>
  <c r="H63" i="79" s="1"/>
  <c r="K35" i="79"/>
  <c r="L35" i="79" s="1"/>
  <c r="H62" i="79" s="1"/>
  <c r="K34" i="79"/>
  <c r="L34" i="79" s="1"/>
  <c r="H61" i="79" s="1"/>
  <c r="K32" i="79"/>
  <c r="L32" i="79" s="1"/>
  <c r="H59" i="79" s="1"/>
  <c r="K30" i="79"/>
  <c r="L30" i="79" s="1"/>
  <c r="H57" i="79" s="1"/>
  <c r="K29" i="79"/>
  <c r="L29" i="79" s="1"/>
  <c r="H56" i="79" s="1"/>
  <c r="K14" i="79"/>
  <c r="L14" i="79" s="1"/>
  <c r="H41" i="79" s="1"/>
  <c r="K15" i="79"/>
  <c r="L15" i="79" s="1"/>
  <c r="H42" i="79" s="1"/>
  <c r="K16" i="79"/>
  <c r="L16" i="79" s="1"/>
  <c r="H43" i="79" s="1"/>
  <c r="K17" i="79"/>
  <c r="L17" i="79" s="1"/>
  <c r="H44" i="79" s="1"/>
  <c r="K18" i="79"/>
  <c r="L18" i="79" s="1"/>
  <c r="H45" i="79" s="1"/>
  <c r="K19" i="79"/>
  <c r="L19" i="79" s="1"/>
  <c r="H46" i="79" s="1"/>
  <c r="K20" i="79"/>
  <c r="L20" i="79" s="1"/>
  <c r="H47" i="79" s="1"/>
  <c r="K21" i="79"/>
  <c r="L21" i="79" s="1"/>
  <c r="H48" i="79" s="1"/>
  <c r="K22" i="79"/>
  <c r="L22" i="79" s="1"/>
  <c r="H49" i="79" s="1"/>
  <c r="K23" i="79"/>
  <c r="L23" i="79" s="1"/>
  <c r="H50" i="79" s="1"/>
  <c r="K24" i="79"/>
  <c r="L24" i="79" s="1"/>
  <c r="H51" i="79" s="1"/>
  <c r="K25" i="79"/>
  <c r="L25" i="79" s="1"/>
  <c r="H52" i="79" s="1"/>
  <c r="K27" i="79"/>
  <c r="L27" i="79" s="1"/>
  <c r="K28" i="79"/>
  <c r="L28" i="79" s="1"/>
  <c r="H55" i="79" s="1"/>
  <c r="B55" i="79"/>
  <c r="B52" i="79"/>
  <c r="B50" i="79"/>
  <c r="H39" i="79"/>
  <c r="G39" i="79"/>
  <c r="B33" i="79"/>
  <c r="R33" i="79" s="1"/>
  <c r="B31" i="79"/>
  <c r="R31" i="79" s="1"/>
  <c r="B26" i="79"/>
  <c r="R26" i="79" s="1"/>
  <c r="N20" i="79"/>
  <c r="U20" i="79" s="1"/>
  <c r="N19" i="79"/>
  <c r="U19" i="79" s="1"/>
  <c r="R19" i="79"/>
  <c r="N16" i="79"/>
  <c r="U16" i="79" s="1"/>
  <c r="N15" i="79"/>
  <c r="U15" i="79" s="1"/>
  <c r="W12" i="79"/>
  <c r="U12" i="79"/>
  <c r="B12" i="79"/>
  <c r="B11" i="79"/>
  <c r="R11" i="79" s="1"/>
  <c r="N11" i="79"/>
  <c r="K11" i="79"/>
  <c r="B10" i="79"/>
  <c r="R10" i="79" s="1"/>
  <c r="U9" i="79"/>
  <c r="B9" i="79"/>
  <c r="R9" i="79" s="1"/>
  <c r="B8" i="79"/>
  <c r="R8" i="79" s="1"/>
  <c r="B7" i="79"/>
  <c r="R7" i="79" s="1"/>
  <c r="U6" i="79"/>
  <c r="B6" i="79"/>
  <c r="R6" i="79" s="1"/>
  <c r="U5" i="79"/>
  <c r="B5" i="79"/>
  <c r="R5" i="79" s="1"/>
  <c r="U4" i="79"/>
  <c r="B4" i="79"/>
  <c r="R4" i="79"/>
  <c r="R2" i="79"/>
  <c r="B2" i="79"/>
  <c r="B36" i="78"/>
  <c r="B87" i="78" s="1"/>
  <c r="B35" i="78"/>
  <c r="B86" i="78" s="1"/>
  <c r="B34" i="78"/>
  <c r="R34" i="78" s="1"/>
  <c r="B32" i="78"/>
  <c r="B59" i="78" s="1"/>
  <c r="B30" i="78"/>
  <c r="B83" i="78"/>
  <c r="B29" i="78"/>
  <c r="B56" i="78" s="1"/>
  <c r="B28" i="78"/>
  <c r="B55" i="78" s="1"/>
  <c r="B27" i="78"/>
  <c r="R27" i="78" s="1"/>
  <c r="B25" i="78"/>
  <c r="B52" i="78" s="1"/>
  <c r="B24" i="78"/>
  <c r="B23" i="78"/>
  <c r="B77" i="78"/>
  <c r="B22" i="78"/>
  <c r="R22" i="78" s="1"/>
  <c r="B21" i="78"/>
  <c r="B75" i="78" s="1"/>
  <c r="B20" i="78"/>
  <c r="B74" i="78" s="1"/>
  <c r="B19" i="78"/>
  <c r="B18" i="78"/>
  <c r="R18" i="78" s="1"/>
  <c r="B17" i="78"/>
  <c r="B44" i="78" s="1"/>
  <c r="B16" i="78"/>
  <c r="B70" i="78" s="1"/>
  <c r="B15" i="78"/>
  <c r="B69" i="78" s="1"/>
  <c r="B14" i="78"/>
  <c r="B68" i="78" s="1"/>
  <c r="B13" i="78"/>
  <c r="B67" i="78" s="1"/>
  <c r="K36" i="78"/>
  <c r="L36" i="78" s="1"/>
  <c r="H63" i="78" s="1"/>
  <c r="K35" i="78"/>
  <c r="L35" i="78" s="1"/>
  <c r="H62" i="78" s="1"/>
  <c r="K34" i="78"/>
  <c r="L34" i="78" s="1"/>
  <c r="H61" i="78" s="1"/>
  <c r="K32" i="78"/>
  <c r="L32" i="78" s="1"/>
  <c r="H59" i="78" s="1"/>
  <c r="K30" i="78"/>
  <c r="L30" i="78" s="1"/>
  <c r="H57" i="78" s="1"/>
  <c r="B57" i="78"/>
  <c r="K29" i="78"/>
  <c r="L29" i="78" s="1"/>
  <c r="H56" i="78" s="1"/>
  <c r="K14" i="78"/>
  <c r="L14" i="78" s="1"/>
  <c r="H41" i="78" s="1"/>
  <c r="K15" i="78"/>
  <c r="L15" i="78" s="1"/>
  <c r="H42" i="78" s="1"/>
  <c r="K16" i="78"/>
  <c r="L16" i="78" s="1"/>
  <c r="H43" i="78" s="1"/>
  <c r="K17" i="78"/>
  <c r="L17" i="78" s="1"/>
  <c r="H44" i="78" s="1"/>
  <c r="K18" i="78"/>
  <c r="L18" i="78" s="1"/>
  <c r="H45" i="78" s="1"/>
  <c r="K19" i="78"/>
  <c r="L19" i="78" s="1"/>
  <c r="H46" i="78" s="1"/>
  <c r="K20" i="78"/>
  <c r="L20" i="78" s="1"/>
  <c r="H47" i="78" s="1"/>
  <c r="K21" i="78"/>
  <c r="L21" i="78" s="1"/>
  <c r="H48" i="78" s="1"/>
  <c r="K22" i="78"/>
  <c r="L22" i="78" s="1"/>
  <c r="H49" i="78" s="1"/>
  <c r="K23" i="78"/>
  <c r="L23" i="78" s="1"/>
  <c r="H50" i="78" s="1"/>
  <c r="K24" i="78"/>
  <c r="L24" i="78" s="1"/>
  <c r="H51" i="78" s="1"/>
  <c r="K25" i="78"/>
  <c r="L25" i="78" s="1"/>
  <c r="H52" i="78" s="1"/>
  <c r="K27" i="78"/>
  <c r="L27" i="78" s="1"/>
  <c r="H54" i="78" s="1"/>
  <c r="K28" i="78"/>
  <c r="L28" i="78" s="1"/>
  <c r="H55" i="78" s="1"/>
  <c r="B50" i="78"/>
  <c r="B49" i="78"/>
  <c r="B48" i="78"/>
  <c r="B45" i="78"/>
  <c r="B41" i="78"/>
  <c r="H39" i="78"/>
  <c r="G39" i="78"/>
  <c r="R36" i="78"/>
  <c r="B33" i="78"/>
  <c r="R33" i="78" s="1"/>
  <c r="B31" i="78"/>
  <c r="R31" i="78"/>
  <c r="R30" i="78"/>
  <c r="B26" i="78"/>
  <c r="R26" i="78" s="1"/>
  <c r="R25" i="78"/>
  <c r="R23" i="78"/>
  <c r="N20" i="78"/>
  <c r="U20" i="78" s="1"/>
  <c r="N19" i="78"/>
  <c r="U19" i="78" s="1"/>
  <c r="N16" i="78"/>
  <c r="U16" i="78" s="1"/>
  <c r="R16" i="78"/>
  <c r="N15" i="78"/>
  <c r="U15" i="78" s="1"/>
  <c r="R14" i="78"/>
  <c r="W12" i="78"/>
  <c r="U12" i="78"/>
  <c r="B12" i="78"/>
  <c r="B11" i="78"/>
  <c r="R11" i="78" s="1"/>
  <c r="N11" i="78"/>
  <c r="K11" i="78"/>
  <c r="B10" i="78"/>
  <c r="R10" i="78" s="1"/>
  <c r="U9" i="78"/>
  <c r="B9" i="78"/>
  <c r="R9" i="78"/>
  <c r="B8" i="78"/>
  <c r="R8" i="78" s="1"/>
  <c r="B7" i="78"/>
  <c r="R7" i="78" s="1"/>
  <c r="U6" i="78"/>
  <c r="B6" i="78"/>
  <c r="R6" i="78" s="1"/>
  <c r="U5" i="78"/>
  <c r="B5" i="78"/>
  <c r="R5" i="78" s="1"/>
  <c r="U4" i="78"/>
  <c r="B4" i="78"/>
  <c r="R4" i="78" s="1"/>
  <c r="R2" i="78"/>
  <c r="B2" i="78"/>
  <c r="B36" i="77"/>
  <c r="B35" i="77"/>
  <c r="B34" i="77"/>
  <c r="B32" i="77"/>
  <c r="B84" i="77" s="1"/>
  <c r="B30" i="77"/>
  <c r="B29" i="77"/>
  <c r="B82" i="77" s="1"/>
  <c r="B28" i="77"/>
  <c r="B55" i="77" s="1"/>
  <c r="B27" i="77"/>
  <c r="B80" i="77" s="1"/>
  <c r="B25" i="77"/>
  <c r="B24" i="77"/>
  <c r="B78" i="77" s="1"/>
  <c r="B23" i="77"/>
  <c r="B77" i="77" s="1"/>
  <c r="B22" i="77"/>
  <c r="B21" i="77"/>
  <c r="B20" i="77"/>
  <c r="B19" i="77"/>
  <c r="B73" i="77" s="1"/>
  <c r="B18" i="77"/>
  <c r="B72" i="77" s="1"/>
  <c r="B17" i="77"/>
  <c r="B16" i="77"/>
  <c r="R16" i="77" s="1"/>
  <c r="B15" i="77"/>
  <c r="B69" i="77" s="1"/>
  <c r="B14" i="77"/>
  <c r="B68" i="77" s="1"/>
  <c r="B13" i="77"/>
  <c r="K36" i="77"/>
  <c r="L36" i="77" s="1"/>
  <c r="H63" i="77" s="1"/>
  <c r="K35" i="77"/>
  <c r="L35" i="77" s="1"/>
  <c r="H62" i="77" s="1"/>
  <c r="K34" i="77"/>
  <c r="L34" i="77" s="1"/>
  <c r="H61" i="77" s="1"/>
  <c r="K32" i="77"/>
  <c r="L32" i="77" s="1"/>
  <c r="H59" i="77" s="1"/>
  <c r="B59" i="77"/>
  <c r="K30" i="77"/>
  <c r="L30" i="77" s="1"/>
  <c r="H57" i="77" s="1"/>
  <c r="K29" i="77"/>
  <c r="L29" i="77" s="1"/>
  <c r="H56" i="77" s="1"/>
  <c r="K14" i="77"/>
  <c r="L14" i="77" s="1"/>
  <c r="H41" i="77" s="1"/>
  <c r="K15" i="77"/>
  <c r="L15" i="77" s="1"/>
  <c r="H42" i="77" s="1"/>
  <c r="K16" i="77"/>
  <c r="L16" i="77" s="1"/>
  <c r="H43" i="77" s="1"/>
  <c r="K17" i="77"/>
  <c r="L17" i="77"/>
  <c r="H44" i="77" s="1"/>
  <c r="K18" i="77"/>
  <c r="L18" i="77" s="1"/>
  <c r="H45" i="77" s="1"/>
  <c r="K19" i="77"/>
  <c r="L19" i="77" s="1"/>
  <c r="H46" i="77" s="1"/>
  <c r="K20" i="77"/>
  <c r="L20" i="77" s="1"/>
  <c r="H47" i="77" s="1"/>
  <c r="K21" i="77"/>
  <c r="L21" i="77" s="1"/>
  <c r="H48" i="77" s="1"/>
  <c r="K22" i="77"/>
  <c r="L22" i="77" s="1"/>
  <c r="H49" i="77" s="1"/>
  <c r="K23" i="77"/>
  <c r="L23" i="77" s="1"/>
  <c r="H50" i="77" s="1"/>
  <c r="K24" i="77"/>
  <c r="L24" i="77" s="1"/>
  <c r="H51" i="77" s="1"/>
  <c r="K25" i="77"/>
  <c r="L25" i="77" s="1"/>
  <c r="H52" i="77" s="1"/>
  <c r="K27" i="77"/>
  <c r="L27" i="77" s="1"/>
  <c r="H54" i="77" s="1"/>
  <c r="K28" i="77"/>
  <c r="L28" i="77" s="1"/>
  <c r="H55" i="77" s="1"/>
  <c r="B54" i="77"/>
  <c r="B51" i="77"/>
  <c r="B49" i="77"/>
  <c r="B45" i="77"/>
  <c r="B41" i="77"/>
  <c r="H39" i="77"/>
  <c r="G39" i="77"/>
  <c r="B33" i="77"/>
  <c r="R33" i="77" s="1"/>
  <c r="R32" i="77"/>
  <c r="B31" i="77"/>
  <c r="R31" i="77" s="1"/>
  <c r="B26" i="77"/>
  <c r="R26" i="77" s="1"/>
  <c r="N20" i="77"/>
  <c r="U20" i="77" s="1"/>
  <c r="N19" i="77"/>
  <c r="U19" i="77" s="1"/>
  <c r="R18" i="77"/>
  <c r="N16" i="77"/>
  <c r="U16" i="77" s="1"/>
  <c r="N15" i="77"/>
  <c r="U15" i="77" s="1"/>
  <c r="W12" i="77"/>
  <c r="U12" i="77"/>
  <c r="B12" i="77"/>
  <c r="B11" i="77"/>
  <c r="R11" i="77" s="1"/>
  <c r="N11" i="77"/>
  <c r="K11" i="77"/>
  <c r="B10" i="77"/>
  <c r="R10" i="77" s="1"/>
  <c r="U9" i="77"/>
  <c r="B9" i="77"/>
  <c r="R9" i="77" s="1"/>
  <c r="B8" i="77"/>
  <c r="R8" i="77" s="1"/>
  <c r="B7" i="77"/>
  <c r="R7" i="77" s="1"/>
  <c r="U6" i="77"/>
  <c r="B6" i="77"/>
  <c r="R6" i="77" s="1"/>
  <c r="U5" i="77"/>
  <c r="B5" i="77"/>
  <c r="R5" i="77" s="1"/>
  <c r="U4" i="77"/>
  <c r="B4" i="77"/>
  <c r="R4" i="77" s="1"/>
  <c r="R2" i="77"/>
  <c r="B2" i="77"/>
  <c r="B36" i="76"/>
  <c r="B35" i="76"/>
  <c r="R35" i="76" s="1"/>
  <c r="B86" i="76"/>
  <c r="B34" i="76"/>
  <c r="B32" i="76"/>
  <c r="B30" i="76"/>
  <c r="B29" i="76"/>
  <c r="B28" i="76"/>
  <c r="B27" i="76"/>
  <c r="B80" i="76" s="1"/>
  <c r="B25" i="76"/>
  <c r="B24" i="76"/>
  <c r="R24" i="76" s="1"/>
  <c r="B23" i="76"/>
  <c r="B50" i="76" s="1"/>
  <c r="B22" i="76"/>
  <c r="B76" i="76" s="1"/>
  <c r="B21" i="76"/>
  <c r="B20" i="76"/>
  <c r="B74" i="76" s="1"/>
  <c r="B19" i="76"/>
  <c r="B18" i="76"/>
  <c r="B17" i="76"/>
  <c r="B71" i="76" s="1"/>
  <c r="B16" i="76"/>
  <c r="B15" i="76"/>
  <c r="B14" i="76"/>
  <c r="B68" i="76" s="1"/>
  <c r="B13" i="76"/>
  <c r="K36" i="76"/>
  <c r="L36" i="76" s="1"/>
  <c r="H63" i="76" s="1"/>
  <c r="K35" i="76"/>
  <c r="L35" i="76" s="1"/>
  <c r="H62" i="76" s="1"/>
  <c r="B62" i="76"/>
  <c r="K34" i="76"/>
  <c r="L34" i="76" s="1"/>
  <c r="H61" i="76" s="1"/>
  <c r="K32" i="76"/>
  <c r="L32" i="76" s="1"/>
  <c r="H59" i="76" s="1"/>
  <c r="K30" i="76"/>
  <c r="L30" i="76" s="1"/>
  <c r="H57" i="76" s="1"/>
  <c r="K29" i="76"/>
  <c r="L29" i="76" s="1"/>
  <c r="H56" i="76" s="1"/>
  <c r="K14" i="76"/>
  <c r="L14" i="76" s="1"/>
  <c r="H41" i="76" s="1"/>
  <c r="K15" i="76"/>
  <c r="L15" i="76" s="1"/>
  <c r="H42" i="76" s="1"/>
  <c r="K16" i="76"/>
  <c r="L16" i="76"/>
  <c r="H43" i="76" s="1"/>
  <c r="K17" i="76"/>
  <c r="L17" i="76" s="1"/>
  <c r="H44" i="76" s="1"/>
  <c r="K18" i="76"/>
  <c r="L18" i="76" s="1"/>
  <c r="H45" i="76" s="1"/>
  <c r="K19" i="76"/>
  <c r="L19" i="76" s="1"/>
  <c r="H46" i="76" s="1"/>
  <c r="K20" i="76"/>
  <c r="L20" i="76" s="1"/>
  <c r="H47" i="76" s="1"/>
  <c r="K21" i="76"/>
  <c r="L21" i="76" s="1"/>
  <c r="H48" i="76" s="1"/>
  <c r="K22" i="76"/>
  <c r="L22" i="76" s="1"/>
  <c r="H49" i="76" s="1"/>
  <c r="K23" i="76"/>
  <c r="L23" i="76" s="1"/>
  <c r="H50" i="76" s="1"/>
  <c r="K24" i="76"/>
  <c r="L24" i="76" s="1"/>
  <c r="H51" i="76" s="1"/>
  <c r="K25" i="76"/>
  <c r="L25" i="76" s="1"/>
  <c r="H52" i="76" s="1"/>
  <c r="K27" i="76"/>
  <c r="L27" i="76" s="1"/>
  <c r="H54" i="76" s="1"/>
  <c r="K28" i="76"/>
  <c r="L28" i="76" s="1"/>
  <c r="H55" i="76" s="1"/>
  <c r="B52" i="76"/>
  <c r="B51" i="76"/>
  <c r="H39" i="76"/>
  <c r="G39" i="76"/>
  <c r="B33" i="76"/>
  <c r="R33" i="76" s="1"/>
  <c r="R32" i="76"/>
  <c r="B31" i="76"/>
  <c r="R31" i="76" s="1"/>
  <c r="B26" i="76"/>
  <c r="R26" i="76" s="1"/>
  <c r="N20" i="76"/>
  <c r="U20" i="76" s="1"/>
  <c r="N19" i="76"/>
  <c r="U19" i="76" s="1"/>
  <c r="N16" i="76"/>
  <c r="U16" i="76" s="1"/>
  <c r="N15" i="76"/>
  <c r="U15" i="76" s="1"/>
  <c r="R13" i="76"/>
  <c r="W12" i="76"/>
  <c r="U12" i="76"/>
  <c r="B12" i="76"/>
  <c r="B11" i="76"/>
  <c r="R11" i="76" s="1"/>
  <c r="N11" i="76"/>
  <c r="K11" i="76"/>
  <c r="B10" i="76"/>
  <c r="R10" i="76" s="1"/>
  <c r="U9" i="76"/>
  <c r="B9" i="76"/>
  <c r="R9" i="76" s="1"/>
  <c r="B8" i="76"/>
  <c r="R8" i="76" s="1"/>
  <c r="B7" i="76"/>
  <c r="R7" i="76" s="1"/>
  <c r="U6" i="76"/>
  <c r="B6" i="76"/>
  <c r="R6" i="76" s="1"/>
  <c r="U5" i="76"/>
  <c r="B5" i="76"/>
  <c r="R5" i="76" s="1"/>
  <c r="U4" i="76"/>
  <c r="B4" i="76"/>
  <c r="R4" i="76" s="1"/>
  <c r="R2" i="76"/>
  <c r="B2" i="76"/>
  <c r="B36" i="75"/>
  <c r="B87" i="75" s="1"/>
  <c r="B35" i="75"/>
  <c r="B34" i="75"/>
  <c r="B85" i="75" s="1"/>
  <c r="B32" i="75"/>
  <c r="B30" i="75"/>
  <c r="B29" i="75"/>
  <c r="B28" i="75"/>
  <c r="B27" i="75"/>
  <c r="B54" i="75" s="1"/>
  <c r="B25" i="75"/>
  <c r="B24" i="75"/>
  <c r="B23" i="75"/>
  <c r="B50" i="75" s="1"/>
  <c r="B22" i="75"/>
  <c r="B76" i="75" s="1"/>
  <c r="B21" i="75"/>
  <c r="B75" i="75" s="1"/>
  <c r="B20" i="75"/>
  <c r="B47" i="75" s="1"/>
  <c r="B19" i="75"/>
  <c r="B73" i="75" s="1"/>
  <c r="B18" i="75"/>
  <c r="B72" i="75" s="1"/>
  <c r="B17" i="75"/>
  <c r="B16" i="75"/>
  <c r="B43" i="75" s="1"/>
  <c r="B15" i="75"/>
  <c r="B42" i="75" s="1"/>
  <c r="B14" i="75"/>
  <c r="B41" i="75" s="1"/>
  <c r="B13" i="75"/>
  <c r="B40" i="75" s="1"/>
  <c r="K36" i="75"/>
  <c r="L36" i="75" s="1"/>
  <c r="H63" i="75" s="1"/>
  <c r="K35" i="75"/>
  <c r="L35" i="75" s="1"/>
  <c r="H62" i="75" s="1"/>
  <c r="K34" i="75"/>
  <c r="L34" i="75" s="1"/>
  <c r="H61" i="75" s="1"/>
  <c r="K32" i="75"/>
  <c r="L32" i="75" s="1"/>
  <c r="H59" i="75" s="1"/>
  <c r="K30" i="75"/>
  <c r="L30" i="75" s="1"/>
  <c r="H57" i="75" s="1"/>
  <c r="K29" i="75"/>
  <c r="L29" i="75"/>
  <c r="H56" i="75" s="1"/>
  <c r="K14" i="75"/>
  <c r="L14" i="75" s="1"/>
  <c r="H41" i="75" s="1"/>
  <c r="K15" i="75"/>
  <c r="L15" i="75" s="1"/>
  <c r="H42" i="75" s="1"/>
  <c r="K16" i="75"/>
  <c r="L16" i="75"/>
  <c r="H43" i="75" s="1"/>
  <c r="K17" i="75"/>
  <c r="L17" i="75" s="1"/>
  <c r="H44" i="75" s="1"/>
  <c r="K18" i="75"/>
  <c r="L18" i="75" s="1"/>
  <c r="H45" i="75" s="1"/>
  <c r="K19" i="75"/>
  <c r="L19" i="75" s="1"/>
  <c r="H46" i="75" s="1"/>
  <c r="K20" i="75"/>
  <c r="L20" i="75" s="1"/>
  <c r="H47" i="75" s="1"/>
  <c r="K21" i="75"/>
  <c r="L21" i="75" s="1"/>
  <c r="H48" i="75" s="1"/>
  <c r="K22" i="75"/>
  <c r="L22" i="75" s="1"/>
  <c r="H49" i="75" s="1"/>
  <c r="K23" i="75"/>
  <c r="L23" i="75" s="1"/>
  <c r="H50" i="75" s="1"/>
  <c r="K24" i="75"/>
  <c r="L24" i="75" s="1"/>
  <c r="H51" i="75" s="1"/>
  <c r="K25" i="75"/>
  <c r="L25" i="75" s="1"/>
  <c r="H52" i="75" s="1"/>
  <c r="K27" i="75"/>
  <c r="L27" i="75" s="1"/>
  <c r="H54" i="75" s="1"/>
  <c r="K28" i="75"/>
  <c r="L28" i="75" s="1"/>
  <c r="H55" i="75" s="1"/>
  <c r="H39" i="75"/>
  <c r="G39" i="75"/>
  <c r="R34" i="75"/>
  <c r="B33" i="75"/>
  <c r="R33" i="75"/>
  <c r="B31" i="75"/>
  <c r="R31" i="75" s="1"/>
  <c r="B26" i="75"/>
  <c r="R26" i="75"/>
  <c r="R21" i="75"/>
  <c r="N20" i="75"/>
  <c r="U20" i="75" s="1"/>
  <c r="N19" i="75"/>
  <c r="U19" i="75" s="1"/>
  <c r="W19" i="75" s="1"/>
  <c r="N16" i="75"/>
  <c r="U16" i="75" s="1"/>
  <c r="W16" i="75" s="1"/>
  <c r="N15" i="75"/>
  <c r="U15" i="75" s="1"/>
  <c r="W12" i="75"/>
  <c r="U12" i="75"/>
  <c r="B12" i="75"/>
  <c r="B11" i="75"/>
  <c r="R11" i="75" s="1"/>
  <c r="N11" i="75"/>
  <c r="K11" i="75"/>
  <c r="B10" i="75"/>
  <c r="R10" i="75" s="1"/>
  <c r="U9" i="75"/>
  <c r="B9" i="75"/>
  <c r="R9" i="75" s="1"/>
  <c r="B8" i="75"/>
  <c r="R8" i="75" s="1"/>
  <c r="B7" i="75"/>
  <c r="R7" i="75" s="1"/>
  <c r="U6" i="75"/>
  <c r="B6" i="75"/>
  <c r="R6" i="75" s="1"/>
  <c r="U5" i="75"/>
  <c r="B5" i="75"/>
  <c r="R5" i="75" s="1"/>
  <c r="U4" i="75"/>
  <c r="B4" i="75"/>
  <c r="R4" i="75" s="1"/>
  <c r="R2" i="75"/>
  <c r="B2" i="75"/>
  <c r="B36" i="74"/>
  <c r="R36" i="74" s="1"/>
  <c r="B35" i="74"/>
  <c r="B34" i="74"/>
  <c r="B32" i="74"/>
  <c r="B59" i="74" s="1"/>
  <c r="B30" i="74"/>
  <c r="B57" i="74" s="1"/>
  <c r="B83" i="74"/>
  <c r="B29" i="74"/>
  <c r="B28" i="74"/>
  <c r="B81" i="74" s="1"/>
  <c r="B27" i="74"/>
  <c r="B80" i="74" s="1"/>
  <c r="B25" i="74"/>
  <c r="B24" i="74"/>
  <c r="B23" i="74"/>
  <c r="B77" i="74" s="1"/>
  <c r="B22" i="74"/>
  <c r="B49" i="74" s="1"/>
  <c r="B21" i="74"/>
  <c r="R21" i="74" s="1"/>
  <c r="B20" i="74"/>
  <c r="B19" i="74"/>
  <c r="B18" i="74"/>
  <c r="B45" i="74" s="1"/>
  <c r="B17" i="74"/>
  <c r="B16" i="74"/>
  <c r="B70" i="74" s="1"/>
  <c r="B15" i="74"/>
  <c r="B69" i="74" s="1"/>
  <c r="B14" i="74"/>
  <c r="B41" i="74" s="1"/>
  <c r="B13" i="74"/>
  <c r="B40" i="74" s="1"/>
  <c r="K36" i="74"/>
  <c r="L36" i="74" s="1"/>
  <c r="H63" i="74" s="1"/>
  <c r="B63" i="74"/>
  <c r="K35" i="74"/>
  <c r="L35" i="74" s="1"/>
  <c r="H62" i="74" s="1"/>
  <c r="K34" i="74"/>
  <c r="L34" i="74" s="1"/>
  <c r="H61" i="74" s="1"/>
  <c r="K32" i="74"/>
  <c r="L32" i="74" s="1"/>
  <c r="H59" i="74" s="1"/>
  <c r="K30" i="74"/>
  <c r="L30" i="74" s="1"/>
  <c r="H57" i="74" s="1"/>
  <c r="K29" i="74"/>
  <c r="L29" i="74" s="1"/>
  <c r="H56" i="74" s="1"/>
  <c r="K14" i="74"/>
  <c r="L14" i="74"/>
  <c r="H41" i="74" s="1"/>
  <c r="K15" i="74"/>
  <c r="L15" i="74" s="1"/>
  <c r="H42" i="74" s="1"/>
  <c r="K16" i="74"/>
  <c r="L16" i="74" s="1"/>
  <c r="H43" i="74" s="1"/>
  <c r="K17" i="74"/>
  <c r="L17" i="74"/>
  <c r="H44" i="74" s="1"/>
  <c r="K18" i="74"/>
  <c r="L18" i="74" s="1"/>
  <c r="H45" i="74" s="1"/>
  <c r="K19" i="74"/>
  <c r="L19" i="74" s="1"/>
  <c r="H46" i="74" s="1"/>
  <c r="K20" i="74"/>
  <c r="L20" i="74" s="1"/>
  <c r="H47" i="74" s="1"/>
  <c r="K21" i="74"/>
  <c r="L21" i="74"/>
  <c r="H48" i="74" s="1"/>
  <c r="K22" i="74"/>
  <c r="L22" i="74" s="1"/>
  <c r="H49" i="74" s="1"/>
  <c r="K23" i="74"/>
  <c r="L23" i="74" s="1"/>
  <c r="H50" i="74" s="1"/>
  <c r="K24" i="74"/>
  <c r="L24" i="74" s="1"/>
  <c r="H51" i="74" s="1"/>
  <c r="K25" i="74"/>
  <c r="L25" i="74" s="1"/>
  <c r="K27" i="74"/>
  <c r="L27" i="74" s="1"/>
  <c r="H54" i="74" s="1"/>
  <c r="K28" i="74"/>
  <c r="L28" i="74" s="1"/>
  <c r="H55" i="74" s="1"/>
  <c r="B55" i="74"/>
  <c r="B54" i="74"/>
  <c r="B51" i="74"/>
  <c r="B50" i="74"/>
  <c r="B44" i="74"/>
  <c r="B42" i="74"/>
  <c r="H39" i="74"/>
  <c r="G39" i="74"/>
  <c r="B33" i="74"/>
  <c r="R33" i="74" s="1"/>
  <c r="B31" i="74"/>
  <c r="R31" i="74" s="1"/>
  <c r="R30" i="74"/>
  <c r="R28" i="74"/>
  <c r="R27" i="74"/>
  <c r="B26" i="74"/>
  <c r="R26" i="74" s="1"/>
  <c r="R25" i="74"/>
  <c r="N20" i="74"/>
  <c r="U20" i="74" s="1"/>
  <c r="N19" i="74"/>
  <c r="U19" i="74" s="1"/>
  <c r="N16" i="74"/>
  <c r="U16" i="74" s="1"/>
  <c r="R16" i="74"/>
  <c r="N15" i="74"/>
  <c r="U15" i="74" s="1"/>
  <c r="R15" i="74"/>
  <c r="W12" i="74"/>
  <c r="U12" i="74"/>
  <c r="B12" i="74"/>
  <c r="B11" i="74"/>
  <c r="R11" i="74" s="1"/>
  <c r="N11" i="74"/>
  <c r="K11" i="74"/>
  <c r="B10" i="74"/>
  <c r="R10" i="74" s="1"/>
  <c r="U9" i="74"/>
  <c r="B9" i="74"/>
  <c r="R9" i="74" s="1"/>
  <c r="B8" i="74"/>
  <c r="R8" i="74" s="1"/>
  <c r="B7" i="74"/>
  <c r="R7" i="74" s="1"/>
  <c r="U6" i="74"/>
  <c r="B6" i="74"/>
  <c r="R6" i="74" s="1"/>
  <c r="U5" i="74"/>
  <c r="B5" i="74"/>
  <c r="R5" i="74" s="1"/>
  <c r="U4" i="74"/>
  <c r="B4" i="74"/>
  <c r="R4" i="74" s="1"/>
  <c r="R2" i="74"/>
  <c r="B2" i="74"/>
  <c r="B36" i="73"/>
  <c r="R36" i="73" s="1"/>
  <c r="B35" i="73"/>
  <c r="B86" i="73" s="1"/>
  <c r="B34" i="73"/>
  <c r="R34" i="73" s="1"/>
  <c r="B32" i="73"/>
  <c r="B30" i="73"/>
  <c r="B83" i="73" s="1"/>
  <c r="B29" i="73"/>
  <c r="B56" i="73" s="1"/>
  <c r="B28" i="73"/>
  <c r="B81" i="73" s="1"/>
  <c r="B27" i="73"/>
  <c r="B54" i="73" s="1"/>
  <c r="B25" i="73"/>
  <c r="R25" i="73" s="1"/>
  <c r="B24" i="73"/>
  <c r="B23" i="73"/>
  <c r="R23" i="73" s="1"/>
  <c r="B22" i="73"/>
  <c r="B21" i="73"/>
  <c r="B20" i="73"/>
  <c r="B19" i="73"/>
  <c r="R19" i="73" s="1"/>
  <c r="B18" i="73"/>
  <c r="B72" i="73" s="1"/>
  <c r="B17" i="73"/>
  <c r="R17" i="73" s="1"/>
  <c r="B16" i="73"/>
  <c r="B70" i="73" s="1"/>
  <c r="B15" i="73"/>
  <c r="R15" i="73" s="1"/>
  <c r="B14" i="73"/>
  <c r="B13" i="73"/>
  <c r="B40" i="73" s="1"/>
  <c r="K36" i="73"/>
  <c r="L36" i="73" s="1"/>
  <c r="H63" i="73" s="1"/>
  <c r="K35" i="73"/>
  <c r="L35" i="73" s="1"/>
  <c r="H62" i="73" s="1"/>
  <c r="B62" i="73"/>
  <c r="K34" i="73"/>
  <c r="L34" i="73" s="1"/>
  <c r="H61" i="73" s="1"/>
  <c r="K32" i="73"/>
  <c r="L32" i="73"/>
  <c r="H59" i="73" s="1"/>
  <c r="K30" i="73"/>
  <c r="L30" i="73" s="1"/>
  <c r="H57" i="73" s="1"/>
  <c r="K29" i="73"/>
  <c r="L29" i="73" s="1"/>
  <c r="H56" i="73" s="1"/>
  <c r="K14" i="73"/>
  <c r="L14" i="73" s="1"/>
  <c r="H41" i="73" s="1"/>
  <c r="K15" i="73"/>
  <c r="L15" i="73" s="1"/>
  <c r="H42" i="73" s="1"/>
  <c r="K16" i="73"/>
  <c r="L16" i="73" s="1"/>
  <c r="H43" i="73" s="1"/>
  <c r="K17" i="73"/>
  <c r="L17" i="73" s="1"/>
  <c r="H44" i="73" s="1"/>
  <c r="K18" i="73"/>
  <c r="L18" i="73" s="1"/>
  <c r="H45" i="73" s="1"/>
  <c r="K19" i="73"/>
  <c r="L19" i="73" s="1"/>
  <c r="H46" i="73" s="1"/>
  <c r="K20" i="73"/>
  <c r="L20" i="73" s="1"/>
  <c r="H47" i="73" s="1"/>
  <c r="K21" i="73"/>
  <c r="L21" i="73" s="1"/>
  <c r="H48" i="73" s="1"/>
  <c r="K22" i="73"/>
  <c r="L22" i="73" s="1"/>
  <c r="H49" i="73" s="1"/>
  <c r="K23" i="73"/>
  <c r="L23" i="73" s="1"/>
  <c r="H50" i="73" s="1"/>
  <c r="K24" i="73"/>
  <c r="L24" i="73" s="1"/>
  <c r="H51" i="73" s="1"/>
  <c r="K25" i="73"/>
  <c r="L25" i="73" s="1"/>
  <c r="K27" i="73"/>
  <c r="L27" i="73" s="1"/>
  <c r="H54" i="73" s="1"/>
  <c r="K28" i="73"/>
  <c r="L28" i="73" s="1"/>
  <c r="H55" i="73" s="1"/>
  <c r="B45" i="73"/>
  <c r="B43" i="73"/>
  <c r="H39" i="73"/>
  <c r="G39" i="73"/>
  <c r="R35" i="73"/>
  <c r="B33" i="73"/>
  <c r="R33" i="73" s="1"/>
  <c r="B31" i="73"/>
  <c r="R31" i="73" s="1"/>
  <c r="B26" i="73"/>
  <c r="R26" i="73" s="1"/>
  <c r="N20" i="73"/>
  <c r="U20" i="73" s="1"/>
  <c r="N19" i="73"/>
  <c r="U19" i="73" s="1"/>
  <c r="R18" i="73"/>
  <c r="N16" i="73"/>
  <c r="U16" i="73" s="1"/>
  <c r="N15" i="73"/>
  <c r="U15" i="73"/>
  <c r="W12" i="73"/>
  <c r="U12" i="73"/>
  <c r="B12" i="73"/>
  <c r="B11" i="73"/>
  <c r="R11" i="73" s="1"/>
  <c r="N11" i="73"/>
  <c r="K11" i="73"/>
  <c r="B10" i="73"/>
  <c r="R10" i="73" s="1"/>
  <c r="U9" i="73"/>
  <c r="B9" i="73"/>
  <c r="R9" i="73" s="1"/>
  <c r="B8" i="73"/>
  <c r="R8" i="73" s="1"/>
  <c r="B7" i="73"/>
  <c r="R7" i="73" s="1"/>
  <c r="U6" i="73"/>
  <c r="B6" i="73"/>
  <c r="R6" i="73" s="1"/>
  <c r="U5" i="73"/>
  <c r="B5" i="73"/>
  <c r="R5" i="73"/>
  <c r="U4" i="73"/>
  <c r="B4" i="73"/>
  <c r="R4" i="73" s="1"/>
  <c r="R2" i="73"/>
  <c r="B2" i="73"/>
  <c r="B36" i="72"/>
  <c r="B35" i="72"/>
  <c r="B86" i="72" s="1"/>
  <c r="B34" i="72"/>
  <c r="B61" i="72" s="1"/>
  <c r="B32" i="72"/>
  <c r="B84" i="72" s="1"/>
  <c r="B30" i="72"/>
  <c r="B57" i="72" s="1"/>
  <c r="B29" i="72"/>
  <c r="B82" i="72" s="1"/>
  <c r="B28" i="72"/>
  <c r="B81" i="72" s="1"/>
  <c r="B27" i="72"/>
  <c r="B25" i="72"/>
  <c r="B52" i="72" s="1"/>
  <c r="B24" i="72"/>
  <c r="B78" i="72" s="1"/>
  <c r="B23" i="72"/>
  <c r="B22" i="72"/>
  <c r="B21" i="72"/>
  <c r="B20" i="72"/>
  <c r="B19" i="72"/>
  <c r="R19" i="72" s="1"/>
  <c r="B18" i="72"/>
  <c r="B17" i="72"/>
  <c r="B71" i="72" s="1"/>
  <c r="B16" i="72"/>
  <c r="B70" i="72" s="1"/>
  <c r="B15" i="72"/>
  <c r="B69" i="72"/>
  <c r="B14" i="72"/>
  <c r="B13" i="72"/>
  <c r="B40" i="72" s="1"/>
  <c r="B67" i="72"/>
  <c r="K36" i="72"/>
  <c r="L36" i="72" s="1"/>
  <c r="H63" i="72" s="1"/>
  <c r="K35" i="72"/>
  <c r="L35" i="72" s="1"/>
  <c r="H62" i="72" s="1"/>
  <c r="K34" i="72"/>
  <c r="L34" i="72" s="1"/>
  <c r="H61" i="72" s="1"/>
  <c r="K32" i="72"/>
  <c r="L32" i="72" s="1"/>
  <c r="H59" i="72" s="1"/>
  <c r="K30" i="72"/>
  <c r="L30" i="72" s="1"/>
  <c r="H57" i="72" s="1"/>
  <c r="K29" i="72"/>
  <c r="L29" i="72" s="1"/>
  <c r="H56" i="72" s="1"/>
  <c r="K14" i="72"/>
  <c r="L14" i="72" s="1"/>
  <c r="H41" i="72" s="1"/>
  <c r="K15" i="72"/>
  <c r="L15" i="72"/>
  <c r="H42" i="72" s="1"/>
  <c r="K16" i="72"/>
  <c r="L16" i="72" s="1"/>
  <c r="H43" i="72" s="1"/>
  <c r="K17" i="72"/>
  <c r="L17" i="72" s="1"/>
  <c r="H44" i="72" s="1"/>
  <c r="K18" i="72"/>
  <c r="L18" i="72" s="1"/>
  <c r="H45" i="72" s="1"/>
  <c r="K19" i="72"/>
  <c r="L19" i="72" s="1"/>
  <c r="H46" i="72" s="1"/>
  <c r="K20" i="72"/>
  <c r="L20" i="72" s="1"/>
  <c r="H47" i="72" s="1"/>
  <c r="K21" i="72"/>
  <c r="L21" i="72" s="1"/>
  <c r="H48" i="72" s="1"/>
  <c r="K22" i="72"/>
  <c r="L22" i="72" s="1"/>
  <c r="H49" i="72" s="1"/>
  <c r="K23" i="72"/>
  <c r="L23" i="72" s="1"/>
  <c r="H50" i="72" s="1"/>
  <c r="K24" i="72"/>
  <c r="L24" i="72" s="1"/>
  <c r="H51" i="72" s="1"/>
  <c r="K25" i="72"/>
  <c r="L25" i="72" s="1"/>
  <c r="H52" i="72" s="1"/>
  <c r="K27" i="72"/>
  <c r="L27" i="72" s="1"/>
  <c r="H54" i="72" s="1"/>
  <c r="K28" i="72"/>
  <c r="L28" i="72" s="1"/>
  <c r="H55" i="72" s="1"/>
  <c r="H39" i="72"/>
  <c r="G39" i="72"/>
  <c r="B33" i="72"/>
  <c r="R33" i="72" s="1"/>
  <c r="B31" i="72"/>
  <c r="R31" i="72" s="1"/>
  <c r="B26" i="72"/>
  <c r="R26" i="72" s="1"/>
  <c r="N20" i="72"/>
  <c r="U20" i="72" s="1"/>
  <c r="N19" i="72"/>
  <c r="U19" i="72" s="1"/>
  <c r="N16" i="72"/>
  <c r="U16" i="72" s="1"/>
  <c r="N15" i="72"/>
  <c r="U15" i="72" s="1"/>
  <c r="W12" i="72"/>
  <c r="U12" i="72"/>
  <c r="B12" i="72"/>
  <c r="B11" i="72"/>
  <c r="R11" i="72" s="1"/>
  <c r="N11" i="72"/>
  <c r="K11" i="72"/>
  <c r="B10" i="72"/>
  <c r="R10" i="72"/>
  <c r="U9" i="72"/>
  <c r="B9" i="72"/>
  <c r="R9" i="72" s="1"/>
  <c r="B8" i="72"/>
  <c r="R8" i="72" s="1"/>
  <c r="B7" i="72"/>
  <c r="R7" i="72" s="1"/>
  <c r="U6" i="72"/>
  <c r="B6" i="72"/>
  <c r="R6" i="72"/>
  <c r="U5" i="72"/>
  <c r="B5" i="72"/>
  <c r="R5" i="72" s="1"/>
  <c r="U4" i="72"/>
  <c r="B4" i="72"/>
  <c r="R4" i="72" s="1"/>
  <c r="R2" i="72"/>
  <c r="B2" i="72"/>
  <c r="B36" i="71"/>
  <c r="B87" i="71" s="1"/>
  <c r="B35" i="71"/>
  <c r="B62" i="71" s="1"/>
  <c r="B86" i="71"/>
  <c r="B34" i="71"/>
  <c r="R34" i="71" s="1"/>
  <c r="B32" i="71"/>
  <c r="R32" i="71" s="1"/>
  <c r="B30" i="71"/>
  <c r="B57" i="71" s="1"/>
  <c r="B29" i="71"/>
  <c r="B56" i="71" s="1"/>
  <c r="B28" i="71"/>
  <c r="B81" i="71" s="1"/>
  <c r="B27" i="71"/>
  <c r="B80" i="71" s="1"/>
  <c r="B25" i="71"/>
  <c r="R25" i="71" s="1"/>
  <c r="B24" i="71"/>
  <c r="B78" i="71"/>
  <c r="B23" i="71"/>
  <c r="R23" i="71" s="1"/>
  <c r="B22" i="71"/>
  <c r="B21" i="71"/>
  <c r="R21" i="71" s="1"/>
  <c r="B20" i="71"/>
  <c r="R20" i="71" s="1"/>
  <c r="B19" i="71"/>
  <c r="R19" i="71" s="1"/>
  <c r="B18" i="71"/>
  <c r="B72" i="71" s="1"/>
  <c r="B17" i="71"/>
  <c r="R17" i="71" s="1"/>
  <c r="B16" i="71"/>
  <c r="R16" i="71" s="1"/>
  <c r="B15" i="71"/>
  <c r="B69" i="71" s="1"/>
  <c r="B14" i="71"/>
  <c r="R14" i="71" s="1"/>
  <c r="B13" i="71"/>
  <c r="R13" i="71" s="1"/>
  <c r="K36" i="71"/>
  <c r="L36" i="71" s="1"/>
  <c r="H63" i="71" s="1"/>
  <c r="K35" i="71"/>
  <c r="L35" i="71" s="1"/>
  <c r="H62" i="71" s="1"/>
  <c r="K34" i="71"/>
  <c r="L34" i="71" s="1"/>
  <c r="H61" i="71" s="1"/>
  <c r="B61" i="71"/>
  <c r="K32" i="71"/>
  <c r="L32" i="71" s="1"/>
  <c r="H59" i="71" s="1"/>
  <c r="K30" i="71"/>
  <c r="L30" i="71" s="1"/>
  <c r="H57" i="71" s="1"/>
  <c r="K29" i="71"/>
  <c r="L29" i="71" s="1"/>
  <c r="H56" i="71" s="1"/>
  <c r="K14" i="71"/>
  <c r="L14" i="71" s="1"/>
  <c r="H41" i="71" s="1"/>
  <c r="K15" i="71"/>
  <c r="L15" i="71" s="1"/>
  <c r="H42" i="71" s="1"/>
  <c r="K16" i="71"/>
  <c r="L16" i="71" s="1"/>
  <c r="H43" i="71" s="1"/>
  <c r="K17" i="71"/>
  <c r="L17" i="71" s="1"/>
  <c r="H44" i="71" s="1"/>
  <c r="K18" i="71"/>
  <c r="L18" i="71" s="1"/>
  <c r="H45" i="71" s="1"/>
  <c r="K19" i="71"/>
  <c r="L19" i="71" s="1"/>
  <c r="H46" i="71" s="1"/>
  <c r="K20" i="71"/>
  <c r="L20" i="71" s="1"/>
  <c r="H47" i="71" s="1"/>
  <c r="K21" i="71"/>
  <c r="L21" i="71" s="1"/>
  <c r="H48" i="71" s="1"/>
  <c r="K22" i="71"/>
  <c r="L22" i="71" s="1"/>
  <c r="H49" i="71" s="1"/>
  <c r="K23" i="71"/>
  <c r="L23" i="71" s="1"/>
  <c r="H50" i="71" s="1"/>
  <c r="K24" i="71"/>
  <c r="L24" i="71" s="1"/>
  <c r="H51" i="71" s="1"/>
  <c r="K25" i="71"/>
  <c r="L25" i="71" s="1"/>
  <c r="H52" i="71" s="1"/>
  <c r="K27" i="71"/>
  <c r="L27" i="71" s="1"/>
  <c r="H54" i="71" s="1"/>
  <c r="K28" i="71"/>
  <c r="L28" i="71" s="1"/>
  <c r="H55" i="71" s="1"/>
  <c r="B51" i="71"/>
  <c r="B50" i="71"/>
  <c r="B49" i="71"/>
  <c r="B47" i="71"/>
  <c r="H39" i="71"/>
  <c r="G39" i="71"/>
  <c r="R36" i="71"/>
  <c r="B33" i="71"/>
  <c r="R33" i="71" s="1"/>
  <c r="B31" i="71"/>
  <c r="R31" i="71" s="1"/>
  <c r="R29" i="71"/>
  <c r="R28" i="71"/>
  <c r="B26" i="71"/>
  <c r="R26" i="71" s="1"/>
  <c r="R24" i="71"/>
  <c r="N20" i="71"/>
  <c r="U20" i="71" s="1"/>
  <c r="N19" i="71"/>
  <c r="U19" i="71" s="1"/>
  <c r="N16" i="71"/>
  <c r="U16" i="71" s="1"/>
  <c r="N15" i="71"/>
  <c r="U15" i="71" s="1"/>
  <c r="R15" i="71"/>
  <c r="W12" i="71"/>
  <c r="U12" i="71"/>
  <c r="B12" i="71"/>
  <c r="B11" i="71"/>
  <c r="R11" i="71" s="1"/>
  <c r="N11" i="71"/>
  <c r="K11" i="71"/>
  <c r="B10" i="71"/>
  <c r="R10" i="71" s="1"/>
  <c r="U9" i="71"/>
  <c r="B9" i="71"/>
  <c r="R9" i="71" s="1"/>
  <c r="B8" i="71"/>
  <c r="R8" i="71" s="1"/>
  <c r="B7" i="71"/>
  <c r="R7" i="71" s="1"/>
  <c r="U6" i="71"/>
  <c r="B6" i="71"/>
  <c r="R6" i="71" s="1"/>
  <c r="U5" i="71"/>
  <c r="B5" i="71"/>
  <c r="R5" i="71"/>
  <c r="U4" i="71"/>
  <c r="B4" i="71"/>
  <c r="R4" i="71" s="1"/>
  <c r="R2" i="71"/>
  <c r="B2" i="71"/>
  <c r="B36" i="70"/>
  <c r="B87" i="70" s="1"/>
  <c r="B35" i="70"/>
  <c r="B62" i="70" s="1"/>
  <c r="B34" i="70"/>
  <c r="B85" i="70" s="1"/>
  <c r="B32" i="70"/>
  <c r="R32" i="70" s="1"/>
  <c r="B30" i="70"/>
  <c r="B83" i="70" s="1"/>
  <c r="B29" i="70"/>
  <c r="R29" i="70" s="1"/>
  <c r="B82" i="70"/>
  <c r="B28" i="70"/>
  <c r="B27" i="70"/>
  <c r="R27" i="70" s="1"/>
  <c r="B25" i="70"/>
  <c r="R25" i="70" s="1"/>
  <c r="B24" i="70"/>
  <c r="B23" i="70"/>
  <c r="B77" i="70" s="1"/>
  <c r="B22" i="70"/>
  <c r="B21" i="70"/>
  <c r="B75" i="70" s="1"/>
  <c r="B20" i="70"/>
  <c r="B74" i="70" s="1"/>
  <c r="B19" i="70"/>
  <c r="R19" i="70" s="1"/>
  <c r="B18" i="70"/>
  <c r="B17" i="70"/>
  <c r="B71" i="70" s="1"/>
  <c r="B16" i="70"/>
  <c r="B43" i="70" s="1"/>
  <c r="B15" i="70"/>
  <c r="B69" i="70" s="1"/>
  <c r="B14" i="70"/>
  <c r="B13" i="70"/>
  <c r="B67" i="70" s="1"/>
  <c r="K36" i="70"/>
  <c r="L36" i="70" s="1"/>
  <c r="H63" i="70" s="1"/>
  <c r="K35" i="70"/>
  <c r="L35" i="70" s="1"/>
  <c r="H62" i="70" s="1"/>
  <c r="K34" i="70"/>
  <c r="L34" i="70" s="1"/>
  <c r="H61" i="70" s="1"/>
  <c r="K32" i="70"/>
  <c r="L32" i="70" s="1"/>
  <c r="H59" i="70" s="1"/>
  <c r="K30" i="70"/>
  <c r="L30" i="70" s="1"/>
  <c r="H57" i="70" s="1"/>
  <c r="K29" i="70"/>
  <c r="L29" i="70" s="1"/>
  <c r="H56" i="70" s="1"/>
  <c r="K14" i="70"/>
  <c r="L14" i="70" s="1"/>
  <c r="H41" i="70" s="1"/>
  <c r="K15" i="70"/>
  <c r="L15" i="70" s="1"/>
  <c r="H42" i="70" s="1"/>
  <c r="K16" i="70"/>
  <c r="L16" i="70" s="1"/>
  <c r="H43" i="70" s="1"/>
  <c r="K17" i="70"/>
  <c r="L17" i="70" s="1"/>
  <c r="H44" i="70" s="1"/>
  <c r="K18" i="70"/>
  <c r="L18" i="70" s="1"/>
  <c r="H45" i="70" s="1"/>
  <c r="K19" i="70"/>
  <c r="L19" i="70" s="1"/>
  <c r="H46" i="70" s="1"/>
  <c r="K20" i="70"/>
  <c r="L20" i="70" s="1"/>
  <c r="H47" i="70" s="1"/>
  <c r="K21" i="70"/>
  <c r="L21" i="70" s="1"/>
  <c r="H48" i="70" s="1"/>
  <c r="K22" i="70"/>
  <c r="L22" i="70" s="1"/>
  <c r="H49" i="70" s="1"/>
  <c r="K23" i="70"/>
  <c r="L23" i="70" s="1"/>
  <c r="H50" i="70" s="1"/>
  <c r="K24" i="70"/>
  <c r="L24" i="70" s="1"/>
  <c r="H51" i="70" s="1"/>
  <c r="K25" i="70"/>
  <c r="L25" i="70" s="1"/>
  <c r="H52" i="70" s="1"/>
  <c r="K27" i="70"/>
  <c r="L27" i="70" s="1"/>
  <c r="H54" i="70" s="1"/>
  <c r="K28" i="70"/>
  <c r="L28" i="70" s="1"/>
  <c r="H55" i="70" s="1"/>
  <c r="B49" i="70"/>
  <c r="H39" i="70"/>
  <c r="G39" i="70"/>
  <c r="B33" i="70"/>
  <c r="R33" i="70"/>
  <c r="B31" i="70"/>
  <c r="R31" i="70" s="1"/>
  <c r="B26" i="70"/>
  <c r="R26" i="70" s="1"/>
  <c r="N20" i="70"/>
  <c r="U20" i="70" s="1"/>
  <c r="N19" i="70"/>
  <c r="U19" i="70" s="1"/>
  <c r="N16" i="70"/>
  <c r="U16" i="70" s="1"/>
  <c r="N15" i="70"/>
  <c r="U15" i="70" s="1"/>
  <c r="W12" i="70"/>
  <c r="U12" i="70"/>
  <c r="B12" i="70"/>
  <c r="B11" i="70"/>
  <c r="R11" i="70" s="1"/>
  <c r="N11" i="70"/>
  <c r="K11" i="70"/>
  <c r="B10" i="70"/>
  <c r="R10" i="70" s="1"/>
  <c r="U9" i="70"/>
  <c r="B9" i="70"/>
  <c r="R9" i="70"/>
  <c r="B8" i="70"/>
  <c r="R8" i="70" s="1"/>
  <c r="B7" i="70"/>
  <c r="R7" i="70" s="1"/>
  <c r="U6" i="70"/>
  <c r="B6" i="70"/>
  <c r="R6" i="70" s="1"/>
  <c r="U5" i="70"/>
  <c r="B5" i="70"/>
  <c r="R5" i="70" s="1"/>
  <c r="U4" i="70"/>
  <c r="B4" i="70"/>
  <c r="R4" i="70" s="1"/>
  <c r="R2" i="70"/>
  <c r="B2" i="70"/>
  <c r="B36" i="69"/>
  <c r="B35" i="69"/>
  <c r="B34" i="69"/>
  <c r="B32" i="69"/>
  <c r="B30" i="69"/>
  <c r="B29" i="69"/>
  <c r="B56" i="69" s="1"/>
  <c r="B28" i="69"/>
  <c r="B55" i="69" s="1"/>
  <c r="B27" i="69"/>
  <c r="B54" i="69" s="1"/>
  <c r="B25" i="69"/>
  <c r="B79" i="69" s="1"/>
  <c r="B24" i="69"/>
  <c r="B23" i="69"/>
  <c r="B77" i="69" s="1"/>
  <c r="B22" i="69"/>
  <c r="R22" i="69" s="1"/>
  <c r="B21" i="69"/>
  <c r="B75" i="69" s="1"/>
  <c r="B20" i="69"/>
  <c r="R20" i="69" s="1"/>
  <c r="B19" i="69"/>
  <c r="B46" i="69" s="1"/>
  <c r="B18" i="69"/>
  <c r="R18" i="69" s="1"/>
  <c r="B17" i="69"/>
  <c r="B16" i="69"/>
  <c r="B70" i="69" s="1"/>
  <c r="B15" i="69"/>
  <c r="B69" i="69" s="1"/>
  <c r="B14" i="69"/>
  <c r="R14" i="69" s="1"/>
  <c r="B13" i="69"/>
  <c r="K36" i="69"/>
  <c r="L36" i="69" s="1"/>
  <c r="H63" i="69" s="1"/>
  <c r="K35" i="69"/>
  <c r="L35" i="69" s="1"/>
  <c r="H62" i="69" s="1"/>
  <c r="K34" i="69"/>
  <c r="L34" i="69" s="1"/>
  <c r="H61" i="69" s="1"/>
  <c r="K32" i="69"/>
  <c r="L32" i="69" s="1"/>
  <c r="H59" i="69" s="1"/>
  <c r="K30" i="69"/>
  <c r="L30" i="69" s="1"/>
  <c r="H57" i="69" s="1"/>
  <c r="K29" i="69"/>
  <c r="L29" i="69" s="1"/>
  <c r="H56" i="69" s="1"/>
  <c r="K14" i="69"/>
  <c r="L14" i="69"/>
  <c r="H41" i="69" s="1"/>
  <c r="K15" i="69"/>
  <c r="L15" i="69" s="1"/>
  <c r="H42" i="69" s="1"/>
  <c r="K16" i="69"/>
  <c r="L16" i="69" s="1"/>
  <c r="H43" i="69" s="1"/>
  <c r="K17" i="69"/>
  <c r="L17" i="69" s="1"/>
  <c r="H44" i="69" s="1"/>
  <c r="K18" i="69"/>
  <c r="L18" i="69" s="1"/>
  <c r="H45" i="69" s="1"/>
  <c r="K19" i="69"/>
  <c r="L19" i="69" s="1"/>
  <c r="H46" i="69" s="1"/>
  <c r="K20" i="69"/>
  <c r="L20" i="69" s="1"/>
  <c r="H47" i="69" s="1"/>
  <c r="K21" i="69"/>
  <c r="L21" i="69" s="1"/>
  <c r="H48" i="69" s="1"/>
  <c r="K22" i="69"/>
  <c r="L22" i="69" s="1"/>
  <c r="H49" i="69" s="1"/>
  <c r="K23" i="69"/>
  <c r="L23" i="69" s="1"/>
  <c r="H50" i="69" s="1"/>
  <c r="K24" i="69"/>
  <c r="L24" i="69" s="1"/>
  <c r="H51" i="69" s="1"/>
  <c r="K25" i="69"/>
  <c r="L25" i="69" s="1"/>
  <c r="H52" i="69" s="1"/>
  <c r="K27" i="69"/>
  <c r="L27" i="69" s="1"/>
  <c r="H54" i="69" s="1"/>
  <c r="K28" i="69"/>
  <c r="L28" i="69" s="1"/>
  <c r="H55" i="69" s="1"/>
  <c r="B51" i="69"/>
  <c r="B48" i="69"/>
  <c r="B45" i="69"/>
  <c r="H39" i="69"/>
  <c r="G39" i="69"/>
  <c r="B33" i="69"/>
  <c r="R33" i="69" s="1"/>
  <c r="B31" i="69"/>
  <c r="R31" i="69" s="1"/>
  <c r="R27" i="69"/>
  <c r="B26" i="69"/>
  <c r="R26" i="69" s="1"/>
  <c r="R23" i="69"/>
  <c r="N20" i="69"/>
  <c r="U20" i="69" s="1"/>
  <c r="N19" i="69"/>
  <c r="U19" i="69" s="1"/>
  <c r="N16" i="69"/>
  <c r="U16" i="69" s="1"/>
  <c r="N15" i="69"/>
  <c r="U15" i="69" s="1"/>
  <c r="W12" i="69"/>
  <c r="U12" i="69"/>
  <c r="B12" i="69"/>
  <c r="B11" i="69"/>
  <c r="R11" i="69" s="1"/>
  <c r="N11" i="69"/>
  <c r="K11" i="69"/>
  <c r="B10" i="69"/>
  <c r="R10" i="69" s="1"/>
  <c r="U9" i="69"/>
  <c r="B9" i="69"/>
  <c r="R9" i="69" s="1"/>
  <c r="B8" i="69"/>
  <c r="R8" i="69" s="1"/>
  <c r="B7" i="69"/>
  <c r="R7" i="69" s="1"/>
  <c r="U6" i="69"/>
  <c r="B6" i="69"/>
  <c r="R6" i="69" s="1"/>
  <c r="U5" i="69"/>
  <c r="B5" i="69"/>
  <c r="R5" i="69" s="1"/>
  <c r="U4" i="69"/>
  <c r="B4" i="69"/>
  <c r="R4" i="69" s="1"/>
  <c r="R2" i="69"/>
  <c r="B2" i="69"/>
  <c r="B36" i="68"/>
  <c r="B87" i="68" s="1"/>
  <c r="B35" i="68"/>
  <c r="B86" i="68" s="1"/>
  <c r="B34" i="68"/>
  <c r="B85" i="68" s="1"/>
  <c r="B32" i="68"/>
  <c r="B84" i="68" s="1"/>
  <c r="B30" i="68"/>
  <c r="B57" i="68" s="1"/>
  <c r="B29" i="68"/>
  <c r="B82" i="68" s="1"/>
  <c r="B28" i="68"/>
  <c r="R28" i="68" s="1"/>
  <c r="B27" i="68"/>
  <c r="B25" i="68"/>
  <c r="B24" i="68"/>
  <c r="R24" i="68" s="1"/>
  <c r="B23" i="68"/>
  <c r="B22" i="68"/>
  <c r="B76" i="68" s="1"/>
  <c r="B21" i="68"/>
  <c r="B75" i="68" s="1"/>
  <c r="B20" i="68"/>
  <c r="B19" i="68"/>
  <c r="B73" i="68"/>
  <c r="B18" i="68"/>
  <c r="B72" i="68" s="1"/>
  <c r="B17" i="68"/>
  <c r="B71" i="68" s="1"/>
  <c r="B16" i="68"/>
  <c r="B70" i="68" s="1"/>
  <c r="B15" i="68"/>
  <c r="R15" i="68" s="1"/>
  <c r="B14" i="68"/>
  <c r="B13" i="68"/>
  <c r="B40" i="68" s="1"/>
  <c r="K36" i="68"/>
  <c r="L36" i="68" s="1"/>
  <c r="H63" i="68" s="1"/>
  <c r="K35" i="68"/>
  <c r="L35" i="68" s="1"/>
  <c r="H62" i="68" s="1"/>
  <c r="K34" i="68"/>
  <c r="L34" i="68" s="1"/>
  <c r="H61" i="68" s="1"/>
  <c r="K32" i="68"/>
  <c r="L32" i="68" s="1"/>
  <c r="H59" i="68" s="1"/>
  <c r="K30" i="68"/>
  <c r="L30" i="68" s="1"/>
  <c r="H57" i="68" s="1"/>
  <c r="K29" i="68"/>
  <c r="L29" i="68" s="1"/>
  <c r="H56" i="68" s="1"/>
  <c r="K14" i="68"/>
  <c r="L14" i="68" s="1"/>
  <c r="H41" i="68" s="1"/>
  <c r="K15" i="68"/>
  <c r="L15" i="68" s="1"/>
  <c r="H42" i="68" s="1"/>
  <c r="K16" i="68"/>
  <c r="L16" i="68" s="1"/>
  <c r="H43" i="68" s="1"/>
  <c r="K17" i="68"/>
  <c r="L17" i="68" s="1"/>
  <c r="H44" i="68" s="1"/>
  <c r="K18" i="68"/>
  <c r="L18" i="68" s="1"/>
  <c r="H45" i="68" s="1"/>
  <c r="K19" i="68"/>
  <c r="L19" i="68" s="1"/>
  <c r="H46" i="68" s="1"/>
  <c r="K20" i="68"/>
  <c r="L20" i="68" s="1"/>
  <c r="H47" i="68" s="1"/>
  <c r="K21" i="68"/>
  <c r="L21" i="68" s="1"/>
  <c r="H48" i="68" s="1"/>
  <c r="K22" i="68"/>
  <c r="L22" i="68" s="1"/>
  <c r="H49" i="68" s="1"/>
  <c r="K23" i="68"/>
  <c r="L23" i="68" s="1"/>
  <c r="H50" i="68" s="1"/>
  <c r="K24" i="68"/>
  <c r="L24" i="68" s="1"/>
  <c r="H51" i="68" s="1"/>
  <c r="K25" i="68"/>
  <c r="L25" i="68" s="1"/>
  <c r="H52" i="68" s="1"/>
  <c r="K27" i="68"/>
  <c r="L27" i="68" s="1"/>
  <c r="H54" i="68" s="1"/>
  <c r="K28" i="68"/>
  <c r="L28" i="68" s="1"/>
  <c r="H55" i="68" s="1"/>
  <c r="B55" i="68"/>
  <c r="B52" i="68"/>
  <c r="B50" i="68"/>
  <c r="B46" i="68"/>
  <c r="H39" i="68"/>
  <c r="G39" i="68"/>
  <c r="R36" i="68"/>
  <c r="B33" i="68"/>
  <c r="R33" i="68"/>
  <c r="B31" i="68"/>
  <c r="R31" i="68" s="1"/>
  <c r="B26" i="68"/>
  <c r="R26" i="68" s="1"/>
  <c r="N20" i="68"/>
  <c r="U20" i="68" s="1"/>
  <c r="N19" i="68"/>
  <c r="U19" i="68" s="1"/>
  <c r="R19" i="68"/>
  <c r="R18" i="68"/>
  <c r="N16" i="68"/>
  <c r="U16" i="68" s="1"/>
  <c r="N15" i="68"/>
  <c r="U15" i="68" s="1"/>
  <c r="W12" i="68"/>
  <c r="U12" i="68"/>
  <c r="B12" i="68"/>
  <c r="B11" i="68"/>
  <c r="R11" i="68" s="1"/>
  <c r="N11" i="68"/>
  <c r="K11" i="68"/>
  <c r="B10" i="68"/>
  <c r="R10" i="68" s="1"/>
  <c r="U9" i="68"/>
  <c r="B9" i="68"/>
  <c r="R9" i="68" s="1"/>
  <c r="B8" i="68"/>
  <c r="R8" i="68" s="1"/>
  <c r="B7" i="68"/>
  <c r="R7" i="68" s="1"/>
  <c r="U6" i="68"/>
  <c r="B6" i="68"/>
  <c r="R6" i="68" s="1"/>
  <c r="U5" i="68"/>
  <c r="B5" i="68"/>
  <c r="R5" i="68" s="1"/>
  <c r="U4" i="68"/>
  <c r="B4" i="68"/>
  <c r="R4" i="68"/>
  <c r="R2" i="68"/>
  <c r="B2" i="68"/>
  <c r="N16" i="21"/>
  <c r="U16" i="21" s="1"/>
  <c r="N15" i="21"/>
  <c r="U15" i="21" s="1"/>
  <c r="W12" i="21"/>
  <c r="U12" i="21"/>
  <c r="R2" i="21"/>
  <c r="G39" i="21"/>
  <c r="H39" i="21"/>
  <c r="K11" i="21"/>
  <c r="B33" i="21"/>
  <c r="R33" i="21" s="1"/>
  <c r="B26" i="21"/>
  <c r="R26" i="21" s="1"/>
  <c r="B31" i="21"/>
  <c r="R31" i="21" s="1"/>
  <c r="N11" i="21"/>
  <c r="B12" i="21"/>
  <c r="B11" i="21"/>
  <c r="R11" i="21" s="1"/>
  <c r="B10" i="21"/>
  <c r="R10" i="21" s="1"/>
  <c r="B9" i="21"/>
  <c r="R9" i="21" s="1"/>
  <c r="B8" i="21"/>
  <c r="R8" i="21" s="1"/>
  <c r="B7" i="21"/>
  <c r="R7" i="21" s="1"/>
  <c r="B6" i="21"/>
  <c r="R6" i="21" s="1"/>
  <c r="B5" i="21"/>
  <c r="B4" i="21"/>
  <c r="R4" i="21" s="1"/>
  <c r="B2" i="21"/>
  <c r="E21" i="66"/>
  <c r="E20" i="66"/>
  <c r="D18" i="66"/>
  <c r="D17" i="66"/>
  <c r="D16" i="66"/>
  <c r="D15" i="66"/>
  <c r="H14" i="66"/>
  <c r="F14" i="66"/>
  <c r="E14" i="66"/>
  <c r="G14" i="66"/>
  <c r="G13" i="66"/>
  <c r="E13" i="66"/>
  <c r="C11" i="66"/>
  <c r="C2" i="66"/>
  <c r="C10" i="66"/>
  <c r="C7" i="66"/>
  <c r="C5" i="66"/>
  <c r="K14" i="21"/>
  <c r="L14" i="21" s="1"/>
  <c r="H41" i="21" s="1"/>
  <c r="K15" i="21"/>
  <c r="L15" i="21" s="1"/>
  <c r="H42" i="21" s="1"/>
  <c r="K16" i="21"/>
  <c r="L16" i="21" s="1"/>
  <c r="H43" i="21" s="1"/>
  <c r="K17" i="21"/>
  <c r="L17" i="21" s="1"/>
  <c r="H44" i="21" s="1"/>
  <c r="K18" i="21"/>
  <c r="L18" i="21" s="1"/>
  <c r="H45" i="21" s="1"/>
  <c r="K19" i="21"/>
  <c r="L19" i="21" s="1"/>
  <c r="H46" i="21" s="1"/>
  <c r="K20" i="21"/>
  <c r="L20" i="21" s="1"/>
  <c r="H47" i="21" s="1"/>
  <c r="K21" i="21"/>
  <c r="L21" i="21" s="1"/>
  <c r="H48" i="21" s="1"/>
  <c r="K22" i="21"/>
  <c r="L22" i="21" s="1"/>
  <c r="H49" i="21" s="1"/>
  <c r="K23" i="21"/>
  <c r="L23" i="21" s="1"/>
  <c r="H50" i="21" s="1"/>
  <c r="K24" i="21"/>
  <c r="L24" i="21" s="1"/>
  <c r="H51" i="21" s="1"/>
  <c r="K25" i="21"/>
  <c r="L25" i="21" s="1"/>
  <c r="H52" i="21" s="1"/>
  <c r="K27" i="21"/>
  <c r="L27" i="21" s="1"/>
  <c r="H54" i="21" s="1"/>
  <c r="K28" i="21"/>
  <c r="L28" i="21" s="1"/>
  <c r="H55" i="21" s="1"/>
  <c r="K29" i="21"/>
  <c r="L29" i="21" s="1"/>
  <c r="H56" i="21" s="1"/>
  <c r="K30" i="21"/>
  <c r="L30" i="21" s="1"/>
  <c r="H57" i="21" s="1"/>
  <c r="K32" i="21"/>
  <c r="L32" i="21" s="1"/>
  <c r="H59" i="21" s="1"/>
  <c r="K34" i="21"/>
  <c r="L34" i="21" s="1"/>
  <c r="H61" i="21" s="1"/>
  <c r="K35" i="21"/>
  <c r="L35" i="21" s="1"/>
  <c r="H62" i="21" s="1"/>
  <c r="K36" i="21"/>
  <c r="L36" i="21" s="1"/>
  <c r="H63" i="21" s="1"/>
  <c r="D10" i="20"/>
  <c r="F10" i="20"/>
  <c r="E10" i="20"/>
  <c r="U4" i="21"/>
  <c r="R5" i="21"/>
  <c r="U5" i="21"/>
  <c r="U6" i="21"/>
  <c r="U9" i="21"/>
  <c r="R14" i="21"/>
  <c r="R18" i="21"/>
  <c r="N19" i="21"/>
  <c r="U19" i="21" s="1"/>
  <c r="N20" i="21"/>
  <c r="U20" i="21" s="1"/>
  <c r="W21" i="21"/>
  <c r="R24" i="21"/>
  <c r="R29" i="21"/>
  <c r="R32" i="21"/>
  <c r="W34" i="21"/>
  <c r="B41" i="21"/>
  <c r="B45" i="21"/>
  <c r="B51" i="21"/>
  <c r="B56" i="21"/>
  <c r="B59" i="21"/>
  <c r="C13" i="65"/>
  <c r="C16" i="65"/>
  <c r="C19" i="65"/>
  <c r="C20" i="65"/>
  <c r="C22" i="65"/>
  <c r="C25" i="65"/>
  <c r="C27" i="65"/>
  <c r="C29" i="65"/>
  <c r="L68" i="86" l="1"/>
  <c r="J67" i="86"/>
  <c r="R19" i="78"/>
  <c r="B46" i="78"/>
  <c r="R30" i="68"/>
  <c r="B49" i="68"/>
  <c r="R25" i="69"/>
  <c r="B42" i="69"/>
  <c r="B80" i="69"/>
  <c r="B70" i="71"/>
  <c r="B84" i="71"/>
  <c r="B82" i="73"/>
  <c r="B85" i="78"/>
  <c r="B72" i="80"/>
  <c r="B45" i="80"/>
  <c r="R18" i="80"/>
  <c r="R25" i="80"/>
  <c r="B52" i="80"/>
  <c r="B86" i="80"/>
  <c r="R35" i="80"/>
  <c r="L67" i="74"/>
  <c r="K87" i="83"/>
  <c r="K79" i="72"/>
  <c r="L79" i="72"/>
  <c r="N79" i="72" s="1"/>
  <c r="AG22" i="16" s="1"/>
  <c r="AG22" i="18" s="1"/>
  <c r="M67" i="74"/>
  <c r="AB10" i="16" s="1"/>
  <c r="AB10" i="18" s="1"/>
  <c r="B74" i="69"/>
  <c r="R14" i="73"/>
  <c r="B41" i="73"/>
  <c r="B67" i="74"/>
  <c r="B81" i="76"/>
  <c r="B55" i="76"/>
  <c r="B63" i="78"/>
  <c r="B73" i="78"/>
  <c r="R36" i="82"/>
  <c r="B87" i="82"/>
  <c r="B63" i="82"/>
  <c r="L86" i="74"/>
  <c r="J78" i="75"/>
  <c r="L78" i="75"/>
  <c r="N78" i="75" s="1"/>
  <c r="Y21" i="16" s="1"/>
  <c r="Y21" i="18" s="1"/>
  <c r="B79" i="84"/>
  <c r="B52" i="84"/>
  <c r="L84" i="75"/>
  <c r="J79" i="81"/>
  <c r="M79" i="81" s="1"/>
  <c r="P22" i="16" s="1"/>
  <c r="L79" i="81"/>
  <c r="B52" i="71"/>
  <c r="R28" i="76"/>
  <c r="R14" i="80"/>
  <c r="B68" i="80"/>
  <c r="B82" i="80"/>
  <c r="B56" i="80"/>
  <c r="L85" i="70"/>
  <c r="B61" i="68"/>
  <c r="B76" i="70"/>
  <c r="R22" i="70"/>
  <c r="R27" i="71"/>
  <c r="B41" i="71"/>
  <c r="B54" i="71"/>
  <c r="B68" i="71"/>
  <c r="B80" i="73"/>
  <c r="R25" i="83"/>
  <c r="B74" i="84"/>
  <c r="R20" i="84"/>
  <c r="B81" i="84"/>
  <c r="B55" i="84"/>
  <c r="K86" i="81"/>
  <c r="N86" i="81" s="1"/>
  <c r="Q29" i="16" s="1"/>
  <c r="J77" i="76"/>
  <c r="L77" i="76"/>
  <c r="R21" i="69"/>
  <c r="B43" i="71"/>
  <c r="B55" i="72"/>
  <c r="R29" i="73"/>
  <c r="B71" i="74"/>
  <c r="R17" i="74"/>
  <c r="B79" i="74"/>
  <c r="B52" i="74"/>
  <c r="B43" i="76"/>
  <c r="R16" i="76"/>
  <c r="R29" i="78"/>
  <c r="B61" i="78"/>
  <c r="B41" i="80"/>
  <c r="R25" i="84"/>
  <c r="J85" i="72"/>
  <c r="K85" i="72"/>
  <c r="J83" i="83"/>
  <c r="K83" i="83"/>
  <c r="B41" i="69"/>
  <c r="B44" i="71"/>
  <c r="R22" i="71"/>
  <c r="B76" i="71"/>
  <c r="B76" i="72"/>
  <c r="B49" i="72"/>
  <c r="R30" i="73"/>
  <c r="B79" i="76"/>
  <c r="R25" i="76"/>
  <c r="B71" i="77"/>
  <c r="R17" i="77"/>
  <c r="B44" i="77"/>
  <c r="B79" i="77"/>
  <c r="B52" i="77"/>
  <c r="R25" i="77"/>
  <c r="B43" i="78"/>
  <c r="B82" i="83"/>
  <c r="B56" i="83"/>
  <c r="K67" i="73"/>
  <c r="J67" i="73"/>
  <c r="R21" i="78"/>
  <c r="R22" i="84"/>
  <c r="L84" i="71"/>
  <c r="L83" i="71"/>
  <c r="J83" i="73"/>
  <c r="L83" i="81"/>
  <c r="L81" i="70"/>
  <c r="L80" i="68"/>
  <c r="L79" i="70"/>
  <c r="L78" i="69"/>
  <c r="K78" i="72"/>
  <c r="L78" i="82"/>
  <c r="L77" i="68"/>
  <c r="K75" i="77"/>
  <c r="L74" i="80"/>
  <c r="L74" i="84"/>
  <c r="J74" i="86"/>
  <c r="L73" i="78"/>
  <c r="J72" i="74"/>
  <c r="L69" i="77"/>
  <c r="K69" i="80"/>
  <c r="K68" i="81"/>
  <c r="W29" i="75"/>
  <c r="R14" i="77"/>
  <c r="R15" i="78"/>
  <c r="B42" i="79"/>
  <c r="B59" i="80"/>
  <c r="R14" i="84"/>
  <c r="R16" i="86"/>
  <c r="L67" i="73"/>
  <c r="K67" i="76"/>
  <c r="J87" i="70"/>
  <c r="M87" i="70" s="1"/>
  <c r="AL30" i="16" s="1"/>
  <c r="AL30" i="18" s="1"/>
  <c r="K87" i="86"/>
  <c r="J86" i="21"/>
  <c r="L85" i="71"/>
  <c r="L85" i="73"/>
  <c r="K84" i="71"/>
  <c r="K83" i="71"/>
  <c r="J83" i="81"/>
  <c r="M83" i="81" s="1"/>
  <c r="P26" i="16" s="1"/>
  <c r="J83" i="79"/>
  <c r="J82" i="81"/>
  <c r="J82" i="79"/>
  <c r="L81" i="72"/>
  <c r="J81" i="80"/>
  <c r="L80" i="81"/>
  <c r="L79" i="21"/>
  <c r="K79" i="75"/>
  <c r="K78" i="83"/>
  <c r="J78" i="82"/>
  <c r="L76" i="75"/>
  <c r="K75" i="74"/>
  <c r="K72" i="73"/>
  <c r="L72" i="76"/>
  <c r="L71" i="70"/>
  <c r="L71" i="74"/>
  <c r="L71" i="75"/>
  <c r="J71" i="81"/>
  <c r="L69" i="21"/>
  <c r="L69" i="80"/>
  <c r="L68" i="74"/>
  <c r="L67" i="81"/>
  <c r="J87" i="72"/>
  <c r="L87" i="74"/>
  <c r="L87" i="83"/>
  <c r="N87" i="83" s="1"/>
  <c r="O30" i="16" s="1"/>
  <c r="O30" i="18" s="1"/>
  <c r="L86" i="81"/>
  <c r="L85" i="21"/>
  <c r="L84" i="72"/>
  <c r="L83" i="21"/>
  <c r="E23" i="20"/>
  <c r="J79" i="21"/>
  <c r="M79" i="21" s="1"/>
  <c r="AP22" i="16" s="1"/>
  <c r="AP22" i="18" s="1"/>
  <c r="N78" i="69"/>
  <c r="AO21" i="16" s="1"/>
  <c r="AO21" i="18" s="1"/>
  <c r="J77" i="73"/>
  <c r="J77" i="77"/>
  <c r="L77" i="86"/>
  <c r="L73" i="70"/>
  <c r="L73" i="80"/>
  <c r="K69" i="73"/>
  <c r="L69" i="76"/>
  <c r="L68" i="72"/>
  <c r="L85" i="74"/>
  <c r="K85" i="75"/>
  <c r="N85" i="75" s="1"/>
  <c r="Y28" i="16" s="1"/>
  <c r="Y28" i="18" s="1"/>
  <c r="K85" i="80"/>
  <c r="K83" i="21"/>
  <c r="J83" i="80"/>
  <c r="J83" i="82"/>
  <c r="J82" i="74"/>
  <c r="M82" i="74" s="1"/>
  <c r="AB25" i="16" s="1"/>
  <c r="AB25" i="18" s="1"/>
  <c r="L82" i="83"/>
  <c r="L82" i="86"/>
  <c r="L81" i="73"/>
  <c r="J81" i="79"/>
  <c r="L80" i="75"/>
  <c r="K79" i="69"/>
  <c r="J79" i="74"/>
  <c r="K79" i="77"/>
  <c r="K78" i="79"/>
  <c r="E20" i="20"/>
  <c r="K77" i="75"/>
  <c r="K77" i="78"/>
  <c r="L76" i="77"/>
  <c r="L75" i="73"/>
  <c r="L74" i="69"/>
  <c r="J74" i="68"/>
  <c r="J74" i="76"/>
  <c r="L73" i="74"/>
  <c r="K73" i="84"/>
  <c r="L71" i="21"/>
  <c r="K71" i="68"/>
  <c r="L71" i="80"/>
  <c r="K69" i="71"/>
  <c r="L68" i="21"/>
  <c r="K68" i="72"/>
  <c r="B45" i="71"/>
  <c r="R28" i="78"/>
  <c r="B81" i="78"/>
  <c r="L67" i="21"/>
  <c r="K67" i="78"/>
  <c r="L67" i="86"/>
  <c r="L86" i="75"/>
  <c r="N86" i="75" s="1"/>
  <c r="Y29" i="16" s="1"/>
  <c r="Y29" i="18" s="1"/>
  <c r="L86" i="78"/>
  <c r="K83" i="77"/>
  <c r="K82" i="86"/>
  <c r="L80" i="83"/>
  <c r="K79" i="83"/>
  <c r="L77" i="70"/>
  <c r="K77" i="72"/>
  <c r="J77" i="78"/>
  <c r="L76" i="71"/>
  <c r="K76" i="83"/>
  <c r="L74" i="78"/>
  <c r="L73" i="72"/>
  <c r="L72" i="75"/>
  <c r="K71" i="76"/>
  <c r="L70" i="81"/>
  <c r="L70" i="79"/>
  <c r="N70" i="79" s="1"/>
  <c r="M13" i="16" s="1"/>
  <c r="M13" i="18" s="1"/>
  <c r="J69" i="71"/>
  <c r="L69" i="73"/>
  <c r="M69" i="73" s="1"/>
  <c r="AD12" i="16" s="1"/>
  <c r="K69" i="75"/>
  <c r="K69" i="78"/>
  <c r="J68" i="80"/>
  <c r="K67" i="72"/>
  <c r="L87" i="85"/>
  <c r="K86" i="78"/>
  <c r="L82" i="81"/>
  <c r="K81" i="74"/>
  <c r="K80" i="80"/>
  <c r="J78" i="73"/>
  <c r="J76" i="83"/>
  <c r="J75" i="76"/>
  <c r="L75" i="79"/>
  <c r="E17" i="20"/>
  <c r="K73" i="76"/>
  <c r="K72" i="72"/>
  <c r="N72" i="72" s="1"/>
  <c r="AG15" i="16" s="1"/>
  <c r="AG15" i="18" s="1"/>
  <c r="L71" i="81"/>
  <c r="K70" i="79"/>
  <c r="K69" i="83"/>
  <c r="L68" i="75"/>
  <c r="W23" i="21"/>
  <c r="M78" i="69"/>
  <c r="AN21" i="16" s="1"/>
  <c r="AN21" i="18" s="1"/>
  <c r="M76" i="77"/>
  <c r="V19" i="16" s="1"/>
  <c r="J69" i="70"/>
  <c r="L68" i="81"/>
  <c r="L82" i="85"/>
  <c r="L86" i="85"/>
  <c r="K83" i="85"/>
  <c r="L69" i="85"/>
  <c r="K68" i="85"/>
  <c r="R32" i="85"/>
  <c r="L80" i="85"/>
  <c r="K69" i="85"/>
  <c r="K80" i="85"/>
  <c r="L84" i="85"/>
  <c r="K82" i="85"/>
  <c r="L76" i="85"/>
  <c r="K85" i="85"/>
  <c r="L71" i="85"/>
  <c r="B59" i="85"/>
  <c r="K71" i="85"/>
  <c r="K67" i="85"/>
  <c r="B83" i="80"/>
  <c r="R30" i="80"/>
  <c r="N83" i="81"/>
  <c r="Q26" i="16" s="1"/>
  <c r="Q26" i="18" s="1"/>
  <c r="B75" i="77"/>
  <c r="B48" i="77"/>
  <c r="R21" i="77"/>
  <c r="B75" i="83"/>
  <c r="B48" i="83"/>
  <c r="K81" i="78"/>
  <c r="K81" i="85"/>
  <c r="J79" i="75"/>
  <c r="N79" i="75" s="1"/>
  <c r="Y22" i="16" s="1"/>
  <c r="Y22" i="18" s="1"/>
  <c r="L79" i="75"/>
  <c r="N71" i="74"/>
  <c r="AC14" i="16" s="1"/>
  <c r="AC14" i="18" s="1"/>
  <c r="B77" i="68"/>
  <c r="R23" i="68"/>
  <c r="B56" i="70"/>
  <c r="B45" i="70"/>
  <c r="R18" i="70"/>
  <c r="R21" i="73"/>
  <c r="B48" i="73"/>
  <c r="B75" i="74"/>
  <c r="B76" i="77"/>
  <c r="R22" i="77"/>
  <c r="R19" i="82"/>
  <c r="B73" i="82"/>
  <c r="L67" i="75"/>
  <c r="L81" i="76"/>
  <c r="J80" i="80"/>
  <c r="N77" i="81"/>
  <c r="Q20" i="16" s="1"/>
  <c r="Q20" i="18" s="1"/>
  <c r="M77" i="81"/>
  <c r="P20" i="16" s="1"/>
  <c r="G64" i="21"/>
  <c r="F27" i="67" s="1"/>
  <c r="R21" i="72"/>
  <c r="B75" i="72"/>
  <c r="B48" i="72"/>
  <c r="R32" i="73"/>
  <c r="B59" i="73"/>
  <c r="B76" i="73"/>
  <c r="R22" i="73"/>
  <c r="B49" i="73"/>
  <c r="B57" i="82"/>
  <c r="R30" i="82"/>
  <c r="B82" i="86"/>
  <c r="B56" i="86"/>
  <c r="R29" i="86"/>
  <c r="B68" i="68"/>
  <c r="B41" i="68"/>
  <c r="B79" i="68"/>
  <c r="R25" i="68"/>
  <c r="B86" i="74"/>
  <c r="B62" i="74"/>
  <c r="R35" i="74"/>
  <c r="B75" i="82"/>
  <c r="J84" i="83"/>
  <c r="J80" i="75"/>
  <c r="K80" i="75"/>
  <c r="L78" i="78"/>
  <c r="L74" i="76"/>
  <c r="J73" i="72"/>
  <c r="L69" i="69"/>
  <c r="J68" i="77"/>
  <c r="L68" i="77"/>
  <c r="L68" i="82"/>
  <c r="G64" i="75"/>
  <c r="F18" i="67" s="1"/>
  <c r="G64" i="80"/>
  <c r="F15" i="67" s="1"/>
  <c r="K84" i="69"/>
  <c r="K78" i="78"/>
  <c r="M77" i="75"/>
  <c r="X20" i="16" s="1"/>
  <c r="N20" i="17" s="1"/>
  <c r="N20" i="19" s="1"/>
  <c r="J70" i="72"/>
  <c r="L70" i="72"/>
  <c r="K70" i="85"/>
  <c r="B87" i="76"/>
  <c r="R36" i="76"/>
  <c r="B59" i="69"/>
  <c r="R32" i="69"/>
  <c r="B81" i="80"/>
  <c r="R28" i="80"/>
  <c r="B79" i="81"/>
  <c r="R25" i="81"/>
  <c r="J86" i="75"/>
  <c r="B73" i="74"/>
  <c r="R19" i="74"/>
  <c r="R19" i="80"/>
  <c r="B46" i="80"/>
  <c r="J67" i="80"/>
  <c r="L81" i="83"/>
  <c r="B47" i="69"/>
  <c r="B79" i="75"/>
  <c r="B52" i="75"/>
  <c r="B45" i="76"/>
  <c r="B72" i="76"/>
  <c r="R18" i="76"/>
  <c r="B42" i="72"/>
  <c r="R15" i="72"/>
  <c r="B46" i="74"/>
  <c r="B71" i="75"/>
  <c r="B44" i="75"/>
  <c r="B83" i="75"/>
  <c r="R30" i="75"/>
  <c r="B73" i="76"/>
  <c r="R19" i="76"/>
  <c r="B80" i="78"/>
  <c r="B54" i="78"/>
  <c r="R21" i="82"/>
  <c r="L85" i="79"/>
  <c r="K80" i="74"/>
  <c r="L80" i="74"/>
  <c r="J75" i="83"/>
  <c r="N75" i="83" s="1"/>
  <c r="O18" i="16" s="1"/>
  <c r="O18" i="18" s="1"/>
  <c r="J74" i="69"/>
  <c r="N69" i="75"/>
  <c r="Y12" i="16" s="1"/>
  <c r="Y12" i="18" s="1"/>
  <c r="M69" i="75"/>
  <c r="X12" i="16" s="1"/>
  <c r="B82" i="84"/>
  <c r="B56" i="84"/>
  <c r="K81" i="77"/>
  <c r="J81" i="77"/>
  <c r="J72" i="80"/>
  <c r="K72" i="80"/>
  <c r="L67" i="82"/>
  <c r="L81" i="78"/>
  <c r="J80" i="69"/>
  <c r="J72" i="75"/>
  <c r="K72" i="75"/>
  <c r="B74" i="73"/>
  <c r="B47" i="73"/>
  <c r="R20" i="73"/>
  <c r="R34" i="74"/>
  <c r="B61" i="74"/>
  <c r="B68" i="72"/>
  <c r="B41" i="72"/>
  <c r="B77" i="79"/>
  <c r="R23" i="79"/>
  <c r="B84" i="76"/>
  <c r="B59" i="76"/>
  <c r="B71" i="69"/>
  <c r="R17" i="69"/>
  <c r="R22" i="72"/>
  <c r="B48" i="74"/>
  <c r="B70" i="80"/>
  <c r="B43" i="80"/>
  <c r="R27" i="81"/>
  <c r="B43" i="84"/>
  <c r="R16" i="84"/>
  <c r="K67" i="79"/>
  <c r="K86" i="73"/>
  <c r="K86" i="75"/>
  <c r="L86" i="80"/>
  <c r="L86" i="79"/>
  <c r="L86" i="86"/>
  <c r="J84" i="79"/>
  <c r="L79" i="84"/>
  <c r="B80" i="70"/>
  <c r="B54" i="70"/>
  <c r="R18" i="84"/>
  <c r="B45" i="84"/>
  <c r="W16" i="68"/>
  <c r="B69" i="68"/>
  <c r="B42" i="68"/>
  <c r="B78" i="73"/>
  <c r="B51" i="73"/>
  <c r="R24" i="73"/>
  <c r="B81" i="75"/>
  <c r="B55" i="75"/>
  <c r="R28" i="75"/>
  <c r="R24" i="78"/>
  <c r="B51" i="78"/>
  <c r="R24" i="72"/>
  <c r="B46" i="76"/>
  <c r="B42" i="78"/>
  <c r="R17" i="80"/>
  <c r="B44" i="80"/>
  <c r="B71" i="83"/>
  <c r="R17" i="83"/>
  <c r="J86" i="70"/>
  <c r="L86" i="70"/>
  <c r="L86" i="73"/>
  <c r="L85" i="80"/>
  <c r="N85" i="80" s="1"/>
  <c r="S28" i="16" s="1"/>
  <c r="S28" i="18" s="1"/>
  <c r="L84" i="70"/>
  <c r="L84" i="80"/>
  <c r="K80" i="71"/>
  <c r="J77" i="86"/>
  <c r="L70" i="70"/>
  <c r="L86" i="68"/>
  <c r="K70" i="75"/>
  <c r="L79" i="71"/>
  <c r="J73" i="81"/>
  <c r="N73" i="81" s="1"/>
  <c r="Q16" i="16" s="1"/>
  <c r="Q16" i="18" s="1"/>
  <c r="K73" i="81"/>
  <c r="B45" i="75"/>
  <c r="B62" i="84"/>
  <c r="R35" i="84"/>
  <c r="R27" i="85"/>
  <c r="B54" i="85"/>
  <c r="N67" i="74"/>
  <c r="AC10" i="16" s="1"/>
  <c r="AC10" i="18" s="1"/>
  <c r="L87" i="77"/>
  <c r="N87" i="77" s="1"/>
  <c r="W30" i="16" s="1"/>
  <c r="W30" i="18" s="1"/>
  <c r="M86" i="74"/>
  <c r="AB29" i="16" s="1"/>
  <c r="K85" i="77"/>
  <c r="J82" i="72"/>
  <c r="L82" i="72"/>
  <c r="J82" i="80"/>
  <c r="J79" i="71"/>
  <c r="L79" i="77"/>
  <c r="L79" i="85"/>
  <c r="J77" i="82"/>
  <c r="J76" i="75"/>
  <c r="K76" i="86"/>
  <c r="K75" i="70"/>
  <c r="K73" i="83"/>
  <c r="K72" i="71"/>
  <c r="N72" i="81"/>
  <c r="Q15" i="16" s="1"/>
  <c r="Q15" i="18" s="1"/>
  <c r="L71" i="82"/>
  <c r="L70" i="73"/>
  <c r="J68" i="69"/>
  <c r="J68" i="78"/>
  <c r="L76" i="73"/>
  <c r="K76" i="85"/>
  <c r="K75" i="78"/>
  <c r="J71" i="80"/>
  <c r="J68" i="82"/>
  <c r="B59" i="70"/>
  <c r="K84" i="70"/>
  <c r="L72" i="77"/>
  <c r="L68" i="71"/>
  <c r="M87" i="77"/>
  <c r="V30" i="16" s="1"/>
  <c r="V30" i="18" s="1"/>
  <c r="J84" i="75"/>
  <c r="L79" i="80"/>
  <c r="L76" i="68"/>
  <c r="L72" i="71"/>
  <c r="R22" i="68"/>
  <c r="R15" i="69"/>
  <c r="B68" i="69"/>
  <c r="R20" i="70"/>
  <c r="B73" i="72"/>
  <c r="R27" i="73"/>
  <c r="B49" i="75"/>
  <c r="B70" i="76"/>
  <c r="R28" i="79"/>
  <c r="B48" i="80"/>
  <c r="B40" i="80"/>
  <c r="R13" i="80"/>
  <c r="B84" i="81"/>
  <c r="R32" i="81"/>
  <c r="R13" i="82"/>
  <c r="B41" i="83"/>
  <c r="B47" i="84"/>
  <c r="B68" i="85"/>
  <c r="R14" i="85"/>
  <c r="B41" i="85"/>
  <c r="J85" i="77"/>
  <c r="J83" i="77"/>
  <c r="N83" i="77" s="1"/>
  <c r="W26" i="16" s="1"/>
  <c r="W26" i="18" s="1"/>
  <c r="L83" i="77"/>
  <c r="K83" i="86"/>
  <c r="K80" i="73"/>
  <c r="K80" i="78"/>
  <c r="K79" i="85"/>
  <c r="K78" i="81"/>
  <c r="K73" i="74"/>
  <c r="N73" i="74" s="1"/>
  <c r="AC16" i="16" s="1"/>
  <c r="AC16" i="18" s="1"/>
  <c r="K70" i="68"/>
  <c r="K68" i="69"/>
  <c r="W22" i="82"/>
  <c r="W25" i="82"/>
  <c r="K75" i="69"/>
  <c r="L70" i="75"/>
  <c r="J78" i="21"/>
  <c r="J76" i="73"/>
  <c r="J71" i="75"/>
  <c r="K71" i="75"/>
  <c r="L70" i="86"/>
  <c r="K67" i="71"/>
  <c r="L76" i="79"/>
  <c r="B44" i="72"/>
  <c r="J87" i="71"/>
  <c r="K87" i="71"/>
  <c r="N87" i="71" s="1"/>
  <c r="AI30" i="16" s="1"/>
  <c r="AI30" i="18" s="1"/>
  <c r="J87" i="83"/>
  <c r="L83" i="82"/>
  <c r="N83" i="82" s="1"/>
  <c r="K26" i="16" s="1"/>
  <c r="K26" i="18" s="1"/>
  <c r="L82" i="73"/>
  <c r="K82" i="82"/>
  <c r="J80" i="73"/>
  <c r="N80" i="73" s="1"/>
  <c r="AE23" i="16" s="1"/>
  <c r="AE23" i="18" s="1"/>
  <c r="L80" i="73"/>
  <c r="J78" i="81"/>
  <c r="N78" i="81" s="1"/>
  <c r="Q21" i="16" s="1"/>
  <c r="Q21" i="18" s="1"/>
  <c r="G64" i="84"/>
  <c r="F10" i="67" s="1"/>
  <c r="K79" i="84"/>
  <c r="K70" i="70"/>
  <c r="L85" i="82"/>
  <c r="B46" i="72"/>
  <c r="B56" i="77"/>
  <c r="B85" i="79"/>
  <c r="B61" i="79"/>
  <c r="R34" i="79"/>
  <c r="B78" i="80"/>
  <c r="R24" i="80"/>
  <c r="W16" i="82"/>
  <c r="J84" i="77"/>
  <c r="K84" i="77"/>
  <c r="M78" i="82"/>
  <c r="J21" i="16" s="1"/>
  <c r="N77" i="75"/>
  <c r="Y20" i="16" s="1"/>
  <c r="Y20" i="18" s="1"/>
  <c r="N69" i="73"/>
  <c r="AE12" i="16" s="1"/>
  <c r="AE12" i="18" s="1"/>
  <c r="G64" i="76"/>
  <c r="F19" i="67" s="1"/>
  <c r="J70" i="80"/>
  <c r="E29" i="20"/>
  <c r="L78" i="68"/>
  <c r="K71" i="86"/>
  <c r="J68" i="81"/>
  <c r="J86" i="68"/>
  <c r="M86" i="68" s="1"/>
  <c r="AJ29" i="16" s="1"/>
  <c r="G64" i="74"/>
  <c r="F20" i="67" s="1"/>
  <c r="B47" i="70"/>
  <c r="B63" i="68"/>
  <c r="R23" i="70"/>
  <c r="R16" i="73"/>
  <c r="R13" i="74"/>
  <c r="R23" i="74"/>
  <c r="B44" i="76"/>
  <c r="R24" i="77"/>
  <c r="R13" i="78"/>
  <c r="B40" i="78"/>
  <c r="R32" i="80"/>
  <c r="B51" i="80"/>
  <c r="R17" i="82"/>
  <c r="B70" i="83"/>
  <c r="R16" i="83"/>
  <c r="L67" i="79"/>
  <c r="L87" i="69"/>
  <c r="L87" i="72"/>
  <c r="K86" i="83"/>
  <c r="K86" i="85"/>
  <c r="J85" i="74"/>
  <c r="L83" i="78"/>
  <c r="L82" i="68"/>
  <c r="J82" i="73"/>
  <c r="L81" i="68"/>
  <c r="L81" i="84"/>
  <c r="L78" i="77"/>
  <c r="J75" i="81"/>
  <c r="K75" i="81"/>
  <c r="L75" i="84"/>
  <c r="L74" i="74"/>
  <c r="M74" i="74" s="1"/>
  <c r="AB17" i="16" s="1"/>
  <c r="L74" i="85"/>
  <c r="L73" i="69"/>
  <c r="K73" i="78"/>
  <c r="K71" i="69"/>
  <c r="J70" i="83"/>
  <c r="L70" i="83"/>
  <c r="J69" i="21"/>
  <c r="L69" i="86"/>
  <c r="L80" i="80"/>
  <c r="N80" i="80" s="1"/>
  <c r="S23" i="16" s="1"/>
  <c r="S23" i="18" s="1"/>
  <c r="K80" i="86"/>
  <c r="N79" i="81"/>
  <c r="Q22" i="16" s="1"/>
  <c r="Q22" i="18" s="1"/>
  <c r="K75" i="83"/>
  <c r="K75" i="84"/>
  <c r="L74" i="79"/>
  <c r="K74" i="85"/>
  <c r="K73" i="69"/>
  <c r="K73" i="86"/>
  <c r="K70" i="69"/>
  <c r="J68" i="79"/>
  <c r="K68" i="79"/>
  <c r="G64" i="81"/>
  <c r="F14" i="67" s="1"/>
  <c r="L87" i="68"/>
  <c r="L86" i="69"/>
  <c r="K86" i="79"/>
  <c r="L85" i="76"/>
  <c r="L84" i="68"/>
  <c r="K84" i="86"/>
  <c r="L83" i="75"/>
  <c r="L83" i="84"/>
  <c r="L82" i="21"/>
  <c r="L82" i="77"/>
  <c r="J82" i="82"/>
  <c r="N82" i="82" s="1"/>
  <c r="K25" i="16" s="1"/>
  <c r="K25" i="18" s="1"/>
  <c r="K81" i="68"/>
  <c r="L81" i="86"/>
  <c r="J79" i="70"/>
  <c r="N79" i="79"/>
  <c r="M22" i="16" s="1"/>
  <c r="L77" i="83"/>
  <c r="J76" i="21"/>
  <c r="J76" i="80"/>
  <c r="L75" i="80"/>
  <c r="L75" i="86"/>
  <c r="K74" i="80"/>
  <c r="K72" i="70"/>
  <c r="J72" i="72"/>
  <c r="L72" i="78"/>
  <c r="L70" i="21"/>
  <c r="J69" i="69"/>
  <c r="N69" i="69" s="1"/>
  <c r="AO12" i="16" s="1"/>
  <c r="AO12" i="18" s="1"/>
  <c r="L69" i="74"/>
  <c r="K69" i="86"/>
  <c r="L68" i="70"/>
  <c r="L68" i="83"/>
  <c r="W24" i="82"/>
  <c r="B35" i="87"/>
  <c r="B30" i="87"/>
  <c r="B22" i="87"/>
  <c r="B11" i="87"/>
  <c r="R11" i="87" s="1"/>
  <c r="B14" i="87"/>
  <c r="B24" i="87"/>
  <c r="B13" i="87"/>
  <c r="R2" i="87"/>
  <c r="B20" i="87"/>
  <c r="W12" i="87"/>
  <c r="B2" i="87"/>
  <c r="T40" i="87"/>
  <c r="B28" i="87"/>
  <c r="U12" i="87"/>
  <c r="B8" i="87"/>
  <c r="R8" i="87" s="1"/>
  <c r="B32" i="87"/>
  <c r="B36" i="87"/>
  <c r="B23" i="87"/>
  <c r="B7" i="87"/>
  <c r="R7" i="87" s="1"/>
  <c r="B19" i="87"/>
  <c r="N11" i="87"/>
  <c r="B15" i="87"/>
  <c r="B6" i="87"/>
  <c r="R6" i="87" s="1"/>
  <c r="B18" i="87"/>
  <c r="B5" i="87"/>
  <c r="R5" i="87" s="1"/>
  <c r="B25" i="87"/>
  <c r="B10" i="87"/>
  <c r="R10" i="87" s="1"/>
  <c r="T42" i="87"/>
  <c r="B29" i="87"/>
  <c r="B21" i="87"/>
  <c r="I39" i="87"/>
  <c r="B34" i="87"/>
  <c r="B17" i="87"/>
  <c r="B9" i="87"/>
  <c r="R9" i="87" s="1"/>
  <c r="B4" i="87"/>
  <c r="R4" i="87" s="1"/>
  <c r="H39" i="87"/>
  <c r="B33" i="87"/>
  <c r="R33" i="87" s="1"/>
  <c r="G39" i="87"/>
  <c r="B16" i="87"/>
  <c r="B12" i="87"/>
  <c r="B31" i="87"/>
  <c r="R31" i="87" s="1"/>
  <c r="T41" i="87"/>
  <c r="B27" i="87"/>
  <c r="B26" i="87"/>
  <c r="R26" i="87" s="1"/>
  <c r="K11" i="87"/>
  <c r="H7" i="67"/>
  <c r="G7" i="67"/>
  <c r="I7" i="67"/>
  <c r="L67" i="69"/>
  <c r="L67" i="77"/>
  <c r="L67" i="84"/>
  <c r="K87" i="68"/>
  <c r="N87" i="73"/>
  <c r="AE30" i="16" s="1"/>
  <c r="AE30" i="18" s="1"/>
  <c r="L87" i="79"/>
  <c r="L85" i="72"/>
  <c r="N85" i="72" s="1"/>
  <c r="AG28" i="16" s="1"/>
  <c r="AG28" i="18" s="1"/>
  <c r="L85" i="84"/>
  <c r="K84" i="68"/>
  <c r="L84" i="82"/>
  <c r="N83" i="83"/>
  <c r="O26" i="16" s="1"/>
  <c r="O26" i="18" s="1"/>
  <c r="K82" i="77"/>
  <c r="K81" i="79"/>
  <c r="L80" i="72"/>
  <c r="L79" i="76"/>
  <c r="L78" i="80"/>
  <c r="N77" i="80"/>
  <c r="S20" i="16" s="1"/>
  <c r="S20" i="18" s="1"/>
  <c r="L77" i="85"/>
  <c r="N76" i="74"/>
  <c r="AC19" i="16" s="1"/>
  <c r="AC19" i="18" s="1"/>
  <c r="L75" i="68"/>
  <c r="N75" i="75"/>
  <c r="Y18" i="16" s="1"/>
  <c r="Y18" i="18" s="1"/>
  <c r="J75" i="79"/>
  <c r="K75" i="86"/>
  <c r="J74" i="72"/>
  <c r="L73" i="75"/>
  <c r="L73" i="82"/>
  <c r="L72" i="73"/>
  <c r="K71" i="70"/>
  <c r="L71" i="78"/>
  <c r="K71" i="84"/>
  <c r="K70" i="82"/>
  <c r="L69" i="70"/>
  <c r="L69" i="81"/>
  <c r="N69" i="81" s="1"/>
  <c r="Q12" i="16" s="1"/>
  <c r="Q12" i="18" s="1"/>
  <c r="L68" i="73"/>
  <c r="G64" i="73"/>
  <c r="F21" i="67" s="1"/>
  <c r="W36" i="76"/>
  <c r="K67" i="69"/>
  <c r="L67" i="72"/>
  <c r="K67" i="77"/>
  <c r="K67" i="83"/>
  <c r="K67" i="84"/>
  <c r="L87" i="21"/>
  <c r="L87" i="80"/>
  <c r="M87" i="80" s="1"/>
  <c r="R30" i="16" s="1"/>
  <c r="L86" i="72"/>
  <c r="L86" i="82"/>
  <c r="J85" i="70"/>
  <c r="N85" i="70" s="1"/>
  <c r="AM28" i="16" s="1"/>
  <c r="AM28" i="18" s="1"/>
  <c r="J85" i="78"/>
  <c r="K85" i="84"/>
  <c r="J84" i="74"/>
  <c r="K84" i="82"/>
  <c r="J81" i="74"/>
  <c r="N81" i="74" s="1"/>
  <c r="AC24" i="16" s="1"/>
  <c r="AC24" i="18" s="1"/>
  <c r="L81" i="80"/>
  <c r="M81" i="80" s="1"/>
  <c r="R24" i="16" s="1"/>
  <c r="K80" i="81"/>
  <c r="J78" i="79"/>
  <c r="K78" i="85"/>
  <c r="L77" i="79"/>
  <c r="K77" i="85"/>
  <c r="J76" i="82"/>
  <c r="L75" i="82"/>
  <c r="L74" i="73"/>
  <c r="L74" i="75"/>
  <c r="N74" i="75" s="1"/>
  <c r="Y17" i="16" s="1"/>
  <c r="Y17" i="18" s="1"/>
  <c r="J74" i="82"/>
  <c r="L73" i="68"/>
  <c r="J73" i="73"/>
  <c r="L72" i="68"/>
  <c r="J70" i="77"/>
  <c r="L69" i="72"/>
  <c r="J68" i="75"/>
  <c r="J68" i="84"/>
  <c r="G64" i="82"/>
  <c r="F11" i="67" s="1"/>
  <c r="W34" i="82"/>
  <c r="K86" i="72"/>
  <c r="K86" i="82"/>
  <c r="K81" i="21"/>
  <c r="K79" i="82"/>
  <c r="K76" i="69"/>
  <c r="K76" i="72"/>
  <c r="W32" i="21"/>
  <c r="L67" i="70"/>
  <c r="L67" i="78"/>
  <c r="J87" i="82"/>
  <c r="J85" i="83"/>
  <c r="L85" i="85"/>
  <c r="K83" i="79"/>
  <c r="J80" i="76"/>
  <c r="L79" i="73"/>
  <c r="J79" i="78"/>
  <c r="L78" i="86"/>
  <c r="L75" i="21"/>
  <c r="L75" i="71"/>
  <c r="L75" i="74"/>
  <c r="J75" i="82"/>
  <c r="L74" i="68"/>
  <c r="J74" i="73"/>
  <c r="J74" i="81"/>
  <c r="L73" i="21"/>
  <c r="L73" i="77"/>
  <c r="L73" i="84"/>
  <c r="L72" i="21"/>
  <c r="L71" i="68"/>
  <c r="J71" i="73"/>
  <c r="L70" i="69"/>
  <c r="J70" i="74"/>
  <c r="L70" i="78"/>
  <c r="K70" i="83"/>
  <c r="K69" i="70"/>
  <c r="J69" i="76"/>
  <c r="J69" i="77"/>
  <c r="N69" i="77" s="1"/>
  <c r="W12" i="16" s="1"/>
  <c r="W12" i="18" s="1"/>
  <c r="K68" i="68"/>
  <c r="L68" i="85"/>
  <c r="J81" i="85"/>
  <c r="K77" i="86"/>
  <c r="J68" i="86"/>
  <c r="J87" i="85"/>
  <c r="G64" i="85"/>
  <c r="F9" i="67" s="1"/>
  <c r="L75" i="85"/>
  <c r="J78" i="85"/>
  <c r="K75" i="85"/>
  <c r="J72" i="85"/>
  <c r="K77" i="84"/>
  <c r="J84" i="84"/>
  <c r="L84" i="83"/>
  <c r="N84" i="83" s="1"/>
  <c r="O27" i="16" s="1"/>
  <c r="O27" i="18" s="1"/>
  <c r="M83" i="83"/>
  <c r="N26" i="16" s="1"/>
  <c r="N26" i="18" s="1"/>
  <c r="J81" i="83"/>
  <c r="J80" i="83"/>
  <c r="N80" i="83" s="1"/>
  <c r="O23" i="16" s="1"/>
  <c r="O23" i="18" s="1"/>
  <c r="L78" i="83"/>
  <c r="J74" i="83"/>
  <c r="J73" i="83"/>
  <c r="M73" i="83" s="1"/>
  <c r="N16" i="16" s="1"/>
  <c r="L72" i="83"/>
  <c r="J69" i="83"/>
  <c r="N69" i="83" s="1"/>
  <c r="O12" i="16" s="1"/>
  <c r="O12" i="18" s="1"/>
  <c r="L67" i="83"/>
  <c r="L75" i="83"/>
  <c r="L74" i="83"/>
  <c r="L69" i="83"/>
  <c r="G64" i="83"/>
  <c r="F13" i="67" s="1"/>
  <c r="J79" i="83"/>
  <c r="N79" i="83" s="1"/>
  <c r="O22" i="16" s="1"/>
  <c r="O22" i="18" s="1"/>
  <c r="W32" i="79"/>
  <c r="L84" i="79"/>
  <c r="L83" i="79"/>
  <c r="L81" i="79"/>
  <c r="L80" i="79"/>
  <c r="N68" i="79"/>
  <c r="M11" i="16" s="1"/>
  <c r="M68" i="79"/>
  <c r="L11" i="16" s="1"/>
  <c r="L11" i="18" s="1"/>
  <c r="M79" i="79"/>
  <c r="L22" i="16" s="1"/>
  <c r="L22" i="18" s="1"/>
  <c r="K74" i="79"/>
  <c r="L72" i="79"/>
  <c r="J71" i="79"/>
  <c r="J69" i="79"/>
  <c r="N69" i="79" s="1"/>
  <c r="M12" i="16" s="1"/>
  <c r="M12" i="18" s="1"/>
  <c r="K76" i="79"/>
  <c r="L71" i="79"/>
  <c r="L69" i="79"/>
  <c r="L78" i="79"/>
  <c r="J67" i="79"/>
  <c r="J74" i="79"/>
  <c r="L73" i="79"/>
  <c r="L87" i="82"/>
  <c r="J85" i="82"/>
  <c r="N68" i="82"/>
  <c r="K11" i="16" s="1"/>
  <c r="K11" i="18" s="1"/>
  <c r="K76" i="82"/>
  <c r="W35" i="82"/>
  <c r="K77" i="82"/>
  <c r="L79" i="82"/>
  <c r="K74" i="82"/>
  <c r="N74" i="82" s="1"/>
  <c r="K17" i="16" s="1"/>
  <c r="K17" i="18" s="1"/>
  <c r="J73" i="82"/>
  <c r="J71" i="82"/>
  <c r="L70" i="82"/>
  <c r="N70" i="82" s="1"/>
  <c r="K13" i="16" s="1"/>
  <c r="K13" i="18" s="1"/>
  <c r="W29" i="82"/>
  <c r="W21" i="82"/>
  <c r="J72" i="82"/>
  <c r="W30" i="82"/>
  <c r="W36" i="82"/>
  <c r="L80" i="84"/>
  <c r="L78" i="84"/>
  <c r="L77" i="84"/>
  <c r="L76" i="84"/>
  <c r="L70" i="84"/>
  <c r="L84" i="84"/>
  <c r="L87" i="84"/>
  <c r="L86" i="84"/>
  <c r="L82" i="84"/>
  <c r="K78" i="84"/>
  <c r="K76" i="84"/>
  <c r="L69" i="84"/>
  <c r="K87" i="84"/>
  <c r="K82" i="84"/>
  <c r="J77" i="84"/>
  <c r="J83" i="84"/>
  <c r="J71" i="84"/>
  <c r="J80" i="84"/>
  <c r="J69" i="84"/>
  <c r="J86" i="84"/>
  <c r="K68" i="84"/>
  <c r="M68" i="84" s="1"/>
  <c r="H11" i="16" s="1"/>
  <c r="J81" i="84"/>
  <c r="M81" i="84" s="1"/>
  <c r="H24" i="16" s="1"/>
  <c r="K80" i="84"/>
  <c r="J72" i="84"/>
  <c r="J70" i="84"/>
  <c r="K69" i="84"/>
  <c r="J87" i="84"/>
  <c r="J78" i="84"/>
  <c r="J74" i="84"/>
  <c r="L71" i="84"/>
  <c r="K85" i="86"/>
  <c r="J67" i="85"/>
  <c r="J70" i="85"/>
  <c r="K72" i="85"/>
  <c r="L73" i="85"/>
  <c r="J83" i="85"/>
  <c r="K87" i="85"/>
  <c r="L83" i="85"/>
  <c r="L81" i="85"/>
  <c r="J79" i="85"/>
  <c r="L78" i="85"/>
  <c r="K73" i="85"/>
  <c r="J73" i="85"/>
  <c r="L70" i="85"/>
  <c r="L67" i="85"/>
  <c r="K86" i="86"/>
  <c r="J85" i="86"/>
  <c r="K81" i="86"/>
  <c r="K78" i="86"/>
  <c r="J76" i="86"/>
  <c r="K79" i="86"/>
  <c r="J79" i="86"/>
  <c r="K74" i="86"/>
  <c r="J72" i="86"/>
  <c r="K72" i="86"/>
  <c r="L87" i="86"/>
  <c r="J86" i="86"/>
  <c r="J70" i="86"/>
  <c r="G64" i="86"/>
  <c r="F8" i="67" s="1"/>
  <c r="L85" i="86"/>
  <c r="L83" i="86"/>
  <c r="J81" i="86"/>
  <c r="L79" i="86"/>
  <c r="J78" i="86"/>
  <c r="L74" i="86"/>
  <c r="L71" i="86"/>
  <c r="K70" i="86"/>
  <c r="J84" i="86"/>
  <c r="L80" i="86"/>
  <c r="V42" i="86"/>
  <c r="U42" i="86" s="1"/>
  <c r="K80" i="69"/>
  <c r="K74" i="69"/>
  <c r="J82" i="69"/>
  <c r="M82" i="69" s="1"/>
  <c r="AN25" i="16" s="1"/>
  <c r="L80" i="69"/>
  <c r="J79" i="69"/>
  <c r="M79" i="69" s="1"/>
  <c r="AN22" i="16" s="1"/>
  <c r="J77" i="69"/>
  <c r="J70" i="69"/>
  <c r="L68" i="69"/>
  <c r="J87" i="69"/>
  <c r="J84" i="69"/>
  <c r="M84" i="69" s="1"/>
  <c r="AN27" i="16" s="1"/>
  <c r="J83" i="69"/>
  <c r="N83" i="69" s="1"/>
  <c r="AO26" i="16" s="1"/>
  <c r="AO26" i="18" s="1"/>
  <c r="K77" i="69"/>
  <c r="J71" i="69"/>
  <c r="J83" i="70"/>
  <c r="L83" i="70"/>
  <c r="L74" i="70"/>
  <c r="W20" i="21"/>
  <c r="W15" i="21"/>
  <c r="W19" i="21"/>
  <c r="W16" i="21"/>
  <c r="W36" i="21"/>
  <c r="W27" i="21"/>
  <c r="W22" i="21"/>
  <c r="K78" i="21"/>
  <c r="K79" i="21"/>
  <c r="W35" i="21"/>
  <c r="J69" i="78"/>
  <c r="J80" i="78"/>
  <c r="J72" i="78"/>
  <c r="K85" i="78"/>
  <c r="J78" i="78"/>
  <c r="M78" i="78" s="1"/>
  <c r="T21" i="16" s="1"/>
  <c r="T21" i="18" s="1"/>
  <c r="J75" i="78"/>
  <c r="L79" i="78"/>
  <c r="N79" i="78" s="1"/>
  <c r="U22" i="16" s="1"/>
  <c r="U22" i="18" s="1"/>
  <c r="L77" i="78"/>
  <c r="J76" i="78"/>
  <c r="L75" i="78"/>
  <c r="J74" i="78"/>
  <c r="J86" i="78"/>
  <c r="J83" i="78"/>
  <c r="K74" i="78"/>
  <c r="N74" i="78" s="1"/>
  <c r="U17" i="16" s="1"/>
  <c r="U17" i="18" s="1"/>
  <c r="K72" i="78"/>
  <c r="N69" i="78"/>
  <c r="U12" i="16" s="1"/>
  <c r="U12" i="18" s="1"/>
  <c r="M69" i="78"/>
  <c r="T12" i="16" s="1"/>
  <c r="T12" i="18" s="1"/>
  <c r="K68" i="78"/>
  <c r="J67" i="78"/>
  <c r="K78" i="70"/>
  <c r="K87" i="70"/>
  <c r="N80" i="70"/>
  <c r="AM23" i="16" s="1"/>
  <c r="AM23" i="18" s="1"/>
  <c r="L75" i="70"/>
  <c r="L76" i="70"/>
  <c r="K74" i="70"/>
  <c r="M74" i="70" s="1"/>
  <c r="AL17" i="16" s="1"/>
  <c r="J72" i="70"/>
  <c r="N72" i="70" s="1"/>
  <c r="AM15" i="16" s="1"/>
  <c r="AM15" i="18" s="1"/>
  <c r="L87" i="70"/>
  <c r="J76" i="70"/>
  <c r="N76" i="70" s="1"/>
  <c r="AM19" i="16" s="1"/>
  <c r="AM19" i="18" s="1"/>
  <c r="J68" i="70"/>
  <c r="L79" i="68"/>
  <c r="J84" i="68"/>
  <c r="J76" i="68"/>
  <c r="J73" i="68"/>
  <c r="J71" i="68"/>
  <c r="N71" i="68" s="1"/>
  <c r="AK14" i="16" s="1"/>
  <c r="AK14" i="18" s="1"/>
  <c r="J70" i="68"/>
  <c r="J83" i="71"/>
  <c r="J72" i="71"/>
  <c r="J81" i="71"/>
  <c r="L80" i="71"/>
  <c r="N80" i="71" s="1"/>
  <c r="AI23" i="16" s="1"/>
  <c r="J78" i="71"/>
  <c r="J75" i="71"/>
  <c r="J74" i="71"/>
  <c r="N74" i="71" s="1"/>
  <c r="AI17" i="16" s="1"/>
  <c r="AI17" i="18" s="1"/>
  <c r="L69" i="71"/>
  <c r="N69" i="71" s="1"/>
  <c r="AI12" i="16" s="1"/>
  <c r="AI12" i="18" s="1"/>
  <c r="J68" i="71"/>
  <c r="W19" i="71"/>
  <c r="K81" i="71"/>
  <c r="K75" i="71"/>
  <c r="K70" i="71"/>
  <c r="M70" i="71" s="1"/>
  <c r="AH13" i="16" s="1"/>
  <c r="AH13" i="18" s="1"/>
  <c r="J67" i="71"/>
  <c r="K74" i="72"/>
  <c r="M74" i="72" s="1"/>
  <c r="AF17" i="16" s="1"/>
  <c r="AF17" i="18" s="1"/>
  <c r="J84" i="72"/>
  <c r="L77" i="72"/>
  <c r="G64" i="72"/>
  <c r="F22" i="67" s="1"/>
  <c r="J77" i="72"/>
  <c r="L76" i="72"/>
  <c r="K84" i="72"/>
  <c r="K83" i="72"/>
  <c r="J78" i="72"/>
  <c r="N78" i="72" s="1"/>
  <c r="AG21" i="16" s="1"/>
  <c r="AG21" i="18" s="1"/>
  <c r="J76" i="72"/>
  <c r="J71" i="72"/>
  <c r="N71" i="72" s="1"/>
  <c r="AG14" i="16" s="1"/>
  <c r="AG14" i="18" s="1"/>
  <c r="J68" i="72"/>
  <c r="J67" i="72"/>
  <c r="N67" i="72" s="1"/>
  <c r="AG10" i="16" s="1"/>
  <c r="AG10" i="18" s="1"/>
  <c r="W29" i="21"/>
  <c r="W18" i="21"/>
  <c r="K84" i="21"/>
  <c r="M84" i="21" s="1"/>
  <c r="AP27" i="16" s="1"/>
  <c r="J87" i="21"/>
  <c r="J85" i="21"/>
  <c r="J82" i="21"/>
  <c r="L76" i="21"/>
  <c r="J77" i="21"/>
  <c r="J73" i="21"/>
  <c r="J72" i="21"/>
  <c r="J71" i="21"/>
  <c r="J68" i="21"/>
  <c r="K86" i="21"/>
  <c r="M86" i="21" s="1"/>
  <c r="AP29" i="16" s="1"/>
  <c r="K85" i="21"/>
  <c r="K80" i="21"/>
  <c r="W24" i="21"/>
  <c r="K85" i="68"/>
  <c r="J85" i="68"/>
  <c r="G64" i="71"/>
  <c r="F23" i="67" s="1"/>
  <c r="L81" i="71"/>
  <c r="M81" i="71" s="1"/>
  <c r="AH24" i="16" s="1"/>
  <c r="AH24" i="18" s="1"/>
  <c r="L82" i="75"/>
  <c r="J80" i="77"/>
  <c r="M80" i="77" s="1"/>
  <c r="V23" i="16" s="1"/>
  <c r="L82" i="80"/>
  <c r="M80" i="80"/>
  <c r="R23" i="16" s="1"/>
  <c r="J82" i="83"/>
  <c r="L82" i="79"/>
  <c r="M82" i="79" s="1"/>
  <c r="L25" i="16" s="1"/>
  <c r="L25" i="18" s="1"/>
  <c r="J77" i="70"/>
  <c r="N77" i="70" s="1"/>
  <c r="AM20" i="16" s="1"/>
  <c r="AM20" i="18" s="1"/>
  <c r="J75" i="70"/>
  <c r="J73" i="70"/>
  <c r="M86" i="70"/>
  <c r="AL29" i="16" s="1"/>
  <c r="J84" i="70"/>
  <c r="U33" i="70"/>
  <c r="W33" i="70" s="1"/>
  <c r="G64" i="70"/>
  <c r="F25" i="67" s="1"/>
  <c r="K83" i="70"/>
  <c r="U31" i="70"/>
  <c r="W31" i="70" s="1"/>
  <c r="J82" i="70"/>
  <c r="N82" i="70" s="1"/>
  <c r="AM25" i="16" s="1"/>
  <c r="AM25" i="18" s="1"/>
  <c r="U46" i="70"/>
  <c r="J81" i="70"/>
  <c r="K81" i="70"/>
  <c r="M80" i="70"/>
  <c r="AL23" i="16" s="1"/>
  <c r="K79" i="70"/>
  <c r="N79" i="70" s="1"/>
  <c r="AM22" i="16" s="1"/>
  <c r="AM22" i="18" s="1"/>
  <c r="M79" i="70"/>
  <c r="AL22" i="16" s="1"/>
  <c r="U26" i="70"/>
  <c r="W26" i="70" s="1"/>
  <c r="K73" i="70"/>
  <c r="U48" i="70"/>
  <c r="U53" i="70" s="1"/>
  <c r="U49" i="70"/>
  <c r="F64" i="70"/>
  <c r="E25" i="67" s="1"/>
  <c r="J67" i="70"/>
  <c r="M67" i="70" s="1"/>
  <c r="AL10" i="16" s="1"/>
  <c r="AL10" i="18" s="1"/>
  <c r="D64" i="70"/>
  <c r="C25" i="67" s="1"/>
  <c r="J70" i="70"/>
  <c r="W22" i="70"/>
  <c r="W27" i="70"/>
  <c r="W16" i="70"/>
  <c r="W35" i="70"/>
  <c r="W30" i="70"/>
  <c r="W25" i="70"/>
  <c r="H64" i="70"/>
  <c r="G25" i="67" s="1"/>
  <c r="U40" i="70"/>
  <c r="U41" i="70"/>
  <c r="W15" i="70"/>
  <c r="W18" i="70"/>
  <c r="W28" i="70"/>
  <c r="W36" i="70"/>
  <c r="L55" i="70"/>
  <c r="E64" i="70"/>
  <c r="D25" i="67" s="1"/>
  <c r="W21" i="70"/>
  <c r="W23" i="70"/>
  <c r="W17" i="70"/>
  <c r="W19" i="70"/>
  <c r="W20" i="70"/>
  <c r="W24" i="70"/>
  <c r="W29" i="70"/>
  <c r="W32" i="70"/>
  <c r="W34" i="70"/>
  <c r="U44" i="70"/>
  <c r="V42" i="70"/>
  <c r="U42" i="70" s="1"/>
  <c r="U56" i="70"/>
  <c r="W13" i="70"/>
  <c r="K82" i="21"/>
  <c r="N82" i="21" s="1"/>
  <c r="AQ25" i="16" s="1"/>
  <c r="AQ25" i="18" s="1"/>
  <c r="J81" i="21"/>
  <c r="L80" i="21"/>
  <c r="U33" i="21"/>
  <c r="W33" i="21" s="1"/>
  <c r="J75" i="21"/>
  <c r="J74" i="21"/>
  <c r="J70" i="21"/>
  <c r="E64" i="21"/>
  <c r="D27" i="67" s="1"/>
  <c r="J67" i="21"/>
  <c r="J83" i="21"/>
  <c r="K77" i="21"/>
  <c r="K76" i="21"/>
  <c r="K75" i="21"/>
  <c r="K74" i="21"/>
  <c r="K73" i="21"/>
  <c r="K72" i="21"/>
  <c r="K71" i="21"/>
  <c r="N71" i="21" s="1"/>
  <c r="AQ14" i="16" s="1"/>
  <c r="AQ14" i="18" s="1"/>
  <c r="K70" i="21"/>
  <c r="K69" i="21"/>
  <c r="N69" i="21" s="1"/>
  <c r="AQ12" i="16" s="1"/>
  <c r="AQ12" i="18" s="1"/>
  <c r="K68" i="21"/>
  <c r="H64" i="21"/>
  <c r="G27" i="67" s="1"/>
  <c r="D64" i="21"/>
  <c r="C27" i="67" s="1"/>
  <c r="U41" i="21"/>
  <c r="U52" i="21"/>
  <c r="U51" i="21"/>
  <c r="U48" i="21"/>
  <c r="U53" i="21" s="1"/>
  <c r="U40" i="21"/>
  <c r="U49" i="21"/>
  <c r="W17" i="21"/>
  <c r="U26" i="21"/>
  <c r="W26" i="21" s="1"/>
  <c r="W25" i="21"/>
  <c r="V42" i="21"/>
  <c r="U42" i="21" s="1"/>
  <c r="U56" i="21"/>
  <c r="M77" i="21"/>
  <c r="AP20" i="16" s="1"/>
  <c r="M69" i="21"/>
  <c r="AP12" i="16" s="1"/>
  <c r="U31" i="21"/>
  <c r="W31" i="21" s="1"/>
  <c r="W30" i="21"/>
  <c r="L55" i="21"/>
  <c r="K67" i="21"/>
  <c r="K87" i="21"/>
  <c r="N86" i="21"/>
  <c r="AQ29" i="16" s="1"/>
  <c r="AQ29" i="18" s="1"/>
  <c r="L81" i="21"/>
  <c r="J80" i="21"/>
  <c r="F64" i="21"/>
  <c r="E27" i="67" s="1"/>
  <c r="U46" i="21"/>
  <c r="W28" i="21"/>
  <c r="U44" i="21"/>
  <c r="W13" i="21"/>
  <c r="G64" i="69"/>
  <c r="F26" i="67" s="1"/>
  <c r="L75" i="69"/>
  <c r="J86" i="69"/>
  <c r="J85" i="69"/>
  <c r="N84" i="69"/>
  <c r="AO27" i="16" s="1"/>
  <c r="AO27" i="18" s="1"/>
  <c r="U46" i="69"/>
  <c r="J81" i="69"/>
  <c r="J76" i="69"/>
  <c r="M76" i="69" s="1"/>
  <c r="AN19" i="16" s="1"/>
  <c r="AN19" i="18" s="1"/>
  <c r="J75" i="69"/>
  <c r="J73" i="69"/>
  <c r="J72" i="69"/>
  <c r="N72" i="69" s="1"/>
  <c r="AO15" i="16" s="1"/>
  <c r="AO15" i="18" s="1"/>
  <c r="F64" i="69"/>
  <c r="E26" i="67" s="1"/>
  <c r="U26" i="69"/>
  <c r="W26" i="69" s="1"/>
  <c r="K86" i="69"/>
  <c r="K85" i="69"/>
  <c r="U33" i="69"/>
  <c r="W33" i="69" s="1"/>
  <c r="U31" i="69"/>
  <c r="W31" i="69" s="1"/>
  <c r="K81" i="69"/>
  <c r="M81" i="69" s="1"/>
  <c r="AN24" i="16" s="1"/>
  <c r="E64" i="69"/>
  <c r="D26" i="67" s="1"/>
  <c r="N74" i="69"/>
  <c r="AO17" i="16" s="1"/>
  <c r="AO17" i="18" s="1"/>
  <c r="M74" i="69"/>
  <c r="AN17" i="16" s="1"/>
  <c r="D64" i="69"/>
  <c r="C26" i="67" s="1"/>
  <c r="U48" i="69"/>
  <c r="U53" i="69" s="1"/>
  <c r="U49" i="69"/>
  <c r="L55" i="69"/>
  <c r="U41" i="69"/>
  <c r="U40" i="69"/>
  <c r="W34" i="69"/>
  <c r="W29" i="69"/>
  <c r="W24" i="69"/>
  <c r="W21" i="69"/>
  <c r="W20" i="69"/>
  <c r="W18" i="69"/>
  <c r="W15" i="69"/>
  <c r="W28" i="69"/>
  <c r="W23" i="69"/>
  <c r="W17" i="69"/>
  <c r="W16" i="69"/>
  <c r="W36" i="69"/>
  <c r="W27" i="69"/>
  <c r="W25" i="69"/>
  <c r="W35" i="69"/>
  <c r="W32" i="69"/>
  <c r="W30" i="69"/>
  <c r="W22" i="69"/>
  <c r="W19" i="69"/>
  <c r="H64" i="69"/>
  <c r="G26" i="67" s="1"/>
  <c r="J67" i="69"/>
  <c r="U56" i="69"/>
  <c r="U44" i="69"/>
  <c r="V42" i="69"/>
  <c r="U42" i="69" s="1"/>
  <c r="W13" i="69"/>
  <c r="U52" i="69"/>
  <c r="U51" i="69"/>
  <c r="U52" i="70"/>
  <c r="U51" i="70"/>
  <c r="W19" i="68"/>
  <c r="J67" i="68"/>
  <c r="N67" i="68" s="1"/>
  <c r="AK10" i="16" s="1"/>
  <c r="AK10" i="18" s="1"/>
  <c r="J82" i="68"/>
  <c r="J83" i="68"/>
  <c r="G64" i="68"/>
  <c r="F24" i="67" s="1"/>
  <c r="L85" i="68"/>
  <c r="K86" i="68"/>
  <c r="J87" i="68"/>
  <c r="J80" i="68"/>
  <c r="J79" i="68"/>
  <c r="J78" i="68"/>
  <c r="J77" i="68"/>
  <c r="J75" i="68"/>
  <c r="J72" i="68"/>
  <c r="L70" i="68"/>
  <c r="J69" i="68"/>
  <c r="F64" i="68"/>
  <c r="E24" i="67" s="1"/>
  <c r="K83" i="68"/>
  <c r="K69" i="68"/>
  <c r="K67" i="68"/>
  <c r="K80" i="68"/>
  <c r="M80" i="68" s="1"/>
  <c r="AJ23" i="16" s="1"/>
  <c r="K79" i="68"/>
  <c r="K74" i="68"/>
  <c r="K78" i="68"/>
  <c r="K77" i="68"/>
  <c r="K72" i="68"/>
  <c r="D64" i="68"/>
  <c r="C24" i="67" s="1"/>
  <c r="K76" i="68"/>
  <c r="N76" i="68" s="1"/>
  <c r="AK19" i="16" s="1"/>
  <c r="AK19" i="18" s="1"/>
  <c r="K75" i="68"/>
  <c r="M75" i="68" s="1"/>
  <c r="AJ18" i="16" s="1"/>
  <c r="AJ18" i="18" s="1"/>
  <c r="U31" i="68"/>
  <c r="W31" i="68" s="1"/>
  <c r="E64" i="68"/>
  <c r="D24" i="67" s="1"/>
  <c r="U33" i="68"/>
  <c r="W33" i="68" s="1"/>
  <c r="W24" i="68"/>
  <c r="V42" i="68"/>
  <c r="U42" i="68" s="1"/>
  <c r="U56" i="68"/>
  <c r="W35" i="68"/>
  <c r="W30" i="68"/>
  <c r="W34" i="68"/>
  <c r="W32" i="68"/>
  <c r="W17" i="68"/>
  <c r="W13" i="68"/>
  <c r="W36" i="68"/>
  <c r="W20" i="68"/>
  <c r="W28" i="68"/>
  <c r="W21" i="68"/>
  <c r="W23" i="68"/>
  <c r="W18" i="68"/>
  <c r="W15" i="68"/>
  <c r="W25" i="68"/>
  <c r="U26" i="68"/>
  <c r="W26" i="68" s="1"/>
  <c r="H64" i="68"/>
  <c r="G24" i="67" s="1"/>
  <c r="W29" i="68"/>
  <c r="W22" i="68"/>
  <c r="K82" i="68"/>
  <c r="U41" i="68"/>
  <c r="L55" i="68"/>
  <c r="U51" i="68"/>
  <c r="U52" i="68"/>
  <c r="U48" i="68"/>
  <c r="U53" i="68" s="1"/>
  <c r="U40" i="68"/>
  <c r="U49" i="68"/>
  <c r="U44" i="68"/>
  <c r="J81" i="68"/>
  <c r="J68" i="68"/>
  <c r="U46" i="68"/>
  <c r="W27" i="68"/>
  <c r="J86" i="71"/>
  <c r="J85" i="71"/>
  <c r="M85" i="71" s="1"/>
  <c r="AH28" i="16" s="1"/>
  <c r="J84" i="71"/>
  <c r="N84" i="71" s="1"/>
  <c r="AI27" i="16" s="1"/>
  <c r="AI27" i="18" s="1"/>
  <c r="J82" i="71"/>
  <c r="L77" i="71"/>
  <c r="J77" i="71"/>
  <c r="J76" i="71"/>
  <c r="J73" i="71"/>
  <c r="J71" i="71"/>
  <c r="F64" i="71"/>
  <c r="E23" i="67" s="1"/>
  <c r="W36" i="71"/>
  <c r="L67" i="71"/>
  <c r="W30" i="71"/>
  <c r="U46" i="71"/>
  <c r="K76" i="71"/>
  <c r="M80" i="71"/>
  <c r="AH23" i="16" s="1"/>
  <c r="AH23" i="18" s="1"/>
  <c r="N78" i="71"/>
  <c r="AI21" i="16" s="1"/>
  <c r="AI21" i="18" s="1"/>
  <c r="M78" i="71"/>
  <c r="AH21" i="16" s="1"/>
  <c r="AH21" i="18" s="1"/>
  <c r="U33" i="71"/>
  <c r="W33" i="71" s="1"/>
  <c r="U31" i="71"/>
  <c r="W31" i="71" s="1"/>
  <c r="K74" i="71"/>
  <c r="E64" i="71"/>
  <c r="D23" i="67" s="1"/>
  <c r="K73" i="71"/>
  <c r="N73" i="71" s="1"/>
  <c r="AI16" i="16" s="1"/>
  <c r="AI16" i="18" s="1"/>
  <c r="W15" i="71"/>
  <c r="K68" i="71"/>
  <c r="W18" i="71"/>
  <c r="D64" i="71"/>
  <c r="C23" i="67" s="1"/>
  <c r="L55" i="71"/>
  <c r="K86" i="71"/>
  <c r="K85" i="71"/>
  <c r="K71" i="71"/>
  <c r="W29" i="71"/>
  <c r="W24" i="71"/>
  <c r="H64" i="71"/>
  <c r="G23" i="67" s="1"/>
  <c r="W25" i="71"/>
  <c r="U26" i="71"/>
  <c r="W26" i="71" s="1"/>
  <c r="V42" i="71"/>
  <c r="U42" i="71" s="1"/>
  <c r="U56" i="71"/>
  <c r="W35" i="71"/>
  <c r="W32" i="71"/>
  <c r="W23" i="71"/>
  <c r="N86" i="71"/>
  <c r="AI29" i="16" s="1"/>
  <c r="AI29" i="18" s="1"/>
  <c r="K77" i="71"/>
  <c r="U41" i="71"/>
  <c r="W34" i="71"/>
  <c r="W22" i="71"/>
  <c r="W13" i="71"/>
  <c r="W16" i="71"/>
  <c r="W20" i="71"/>
  <c r="W17" i="71"/>
  <c r="W21" i="71"/>
  <c r="W28" i="71"/>
  <c r="M84" i="71"/>
  <c r="AH27" i="16" s="1"/>
  <c r="K82" i="71"/>
  <c r="K79" i="71"/>
  <c r="W27" i="71"/>
  <c r="M69" i="71"/>
  <c r="AH12" i="16" s="1"/>
  <c r="U48" i="71"/>
  <c r="U53" i="71" s="1"/>
  <c r="U40" i="71"/>
  <c r="U49" i="71"/>
  <c r="U44" i="71"/>
  <c r="U51" i="71"/>
  <c r="U52" i="71"/>
  <c r="L83" i="72"/>
  <c r="J86" i="72"/>
  <c r="N86" i="72" s="1"/>
  <c r="AG29" i="16" s="1"/>
  <c r="AG29" i="18" s="1"/>
  <c r="W35" i="72"/>
  <c r="J83" i="72"/>
  <c r="J81" i="72"/>
  <c r="N81" i="72" s="1"/>
  <c r="AG24" i="16" s="1"/>
  <c r="AG24" i="18" s="1"/>
  <c r="J80" i="72"/>
  <c r="M80" i="72" s="1"/>
  <c r="AF23" i="16" s="1"/>
  <c r="L78" i="72"/>
  <c r="M76" i="72"/>
  <c r="AF19" i="16" s="1"/>
  <c r="AF19" i="18" s="1"/>
  <c r="J75" i="72"/>
  <c r="M70" i="72"/>
  <c r="AF13" i="16" s="1"/>
  <c r="J69" i="72"/>
  <c r="W16" i="72"/>
  <c r="F64" i="72"/>
  <c r="E22" i="67" s="1"/>
  <c r="W30" i="72"/>
  <c r="W15" i="72"/>
  <c r="W19" i="72"/>
  <c r="W23" i="72"/>
  <c r="W22" i="72"/>
  <c r="W34" i="72"/>
  <c r="W36" i="72"/>
  <c r="W18" i="72"/>
  <c r="W20" i="72"/>
  <c r="W25" i="72"/>
  <c r="W27" i="72"/>
  <c r="W29" i="72"/>
  <c r="W21" i="72"/>
  <c r="W24" i="72"/>
  <c r="K87" i="72"/>
  <c r="M85" i="72"/>
  <c r="AF28" i="16" s="1"/>
  <c r="U31" i="72"/>
  <c r="W31" i="72" s="1"/>
  <c r="U46" i="72"/>
  <c r="W28" i="72"/>
  <c r="K75" i="72"/>
  <c r="U48" i="72"/>
  <c r="U53" i="72" s="1"/>
  <c r="U40" i="72"/>
  <c r="U49" i="72"/>
  <c r="W17" i="72"/>
  <c r="U26" i="72"/>
  <c r="W26" i="72" s="1"/>
  <c r="U41" i="72"/>
  <c r="U33" i="72"/>
  <c r="W33" i="72" s="1"/>
  <c r="W32" i="72"/>
  <c r="E64" i="72"/>
  <c r="D22" i="67" s="1"/>
  <c r="D64" i="72"/>
  <c r="C22" i="67" s="1"/>
  <c r="L55" i="72"/>
  <c r="H40" i="72"/>
  <c r="H64" i="72" s="1"/>
  <c r="G22" i="67" s="1"/>
  <c r="U44" i="72"/>
  <c r="V42" i="72"/>
  <c r="U42" i="72" s="1"/>
  <c r="U56" i="72"/>
  <c r="W13" i="72"/>
  <c r="U51" i="72"/>
  <c r="U52" i="72"/>
  <c r="K82" i="73"/>
  <c r="J86" i="73"/>
  <c r="J85" i="73"/>
  <c r="N85" i="73" s="1"/>
  <c r="AE28" i="16" s="1"/>
  <c r="AE28" i="18" s="1"/>
  <c r="L84" i="73"/>
  <c r="N84" i="73" s="1"/>
  <c r="AE27" i="16" s="1"/>
  <c r="AE27" i="18" s="1"/>
  <c r="J81" i="73"/>
  <c r="J79" i="73"/>
  <c r="N78" i="73"/>
  <c r="AE21" i="16" s="1"/>
  <c r="AE21" i="18" s="1"/>
  <c r="M78" i="73"/>
  <c r="AD21" i="16" s="1"/>
  <c r="M75" i="73"/>
  <c r="AD18" i="16" s="1"/>
  <c r="N75" i="73"/>
  <c r="AE18" i="16" s="1"/>
  <c r="AE18" i="18" s="1"/>
  <c r="L73" i="73"/>
  <c r="J72" i="73"/>
  <c r="J70" i="73"/>
  <c r="M70" i="73" s="1"/>
  <c r="AD13" i="16" s="1"/>
  <c r="J68" i="73"/>
  <c r="F64" i="73"/>
  <c r="E21" i="67" s="1"/>
  <c r="J87" i="74"/>
  <c r="L84" i="74"/>
  <c r="M84" i="74" s="1"/>
  <c r="AB27" i="16" s="1"/>
  <c r="AB27" i="18" s="1"/>
  <c r="J83" i="74"/>
  <c r="J77" i="74"/>
  <c r="N77" i="74" s="1"/>
  <c r="AC20" i="16" s="1"/>
  <c r="AC20" i="18" s="1"/>
  <c r="J75" i="74"/>
  <c r="J74" i="74"/>
  <c r="J73" i="74"/>
  <c r="F64" i="74"/>
  <c r="E20" i="67" s="1"/>
  <c r="J69" i="74"/>
  <c r="J68" i="74"/>
  <c r="M68" i="74" s="1"/>
  <c r="AB11" i="16" s="1"/>
  <c r="J87" i="76"/>
  <c r="J85" i="76"/>
  <c r="J84" i="76"/>
  <c r="J81" i="76"/>
  <c r="J79" i="76"/>
  <c r="M79" i="76" s="1"/>
  <c r="Z22" i="16" s="1"/>
  <c r="J78" i="76"/>
  <c r="L78" i="76"/>
  <c r="L75" i="76"/>
  <c r="J73" i="76"/>
  <c r="N73" i="76" s="1"/>
  <c r="AA16" i="16" s="1"/>
  <c r="AA16" i="18" s="1"/>
  <c r="J70" i="76"/>
  <c r="W15" i="76"/>
  <c r="L68" i="76"/>
  <c r="J67" i="76"/>
  <c r="J87" i="75"/>
  <c r="J83" i="75"/>
  <c r="M83" i="75" s="1"/>
  <c r="X26" i="16" s="1"/>
  <c r="J82" i="75"/>
  <c r="J81" i="75"/>
  <c r="N81" i="75" s="1"/>
  <c r="Y24" i="16" s="1"/>
  <c r="Y24" i="18" s="1"/>
  <c r="J74" i="75"/>
  <c r="J73" i="75"/>
  <c r="F64" i="75"/>
  <c r="E18" i="67" s="1"/>
  <c r="W21" i="75"/>
  <c r="W23" i="75"/>
  <c r="W20" i="75"/>
  <c r="W18" i="75"/>
  <c r="W36" i="75"/>
  <c r="W35" i="75"/>
  <c r="J67" i="75"/>
  <c r="M67" i="75" s="1"/>
  <c r="X10" i="16" s="1"/>
  <c r="L80" i="78"/>
  <c r="L82" i="78"/>
  <c r="K77" i="77"/>
  <c r="M77" i="77" s="1"/>
  <c r="V20" i="16" s="1"/>
  <c r="K74" i="77"/>
  <c r="G64" i="77"/>
  <c r="F17" i="67" s="1"/>
  <c r="L74" i="77"/>
  <c r="N86" i="77"/>
  <c r="W29" i="16" s="1"/>
  <c r="W29" i="18" s="1"/>
  <c r="M86" i="77"/>
  <c r="V29" i="16" s="1"/>
  <c r="V29" i="18" s="1"/>
  <c r="L85" i="77"/>
  <c r="M85" i="77" s="1"/>
  <c r="V28" i="16" s="1"/>
  <c r="M83" i="77"/>
  <c r="V26" i="16" s="1"/>
  <c r="V26" i="18" s="1"/>
  <c r="J82" i="77"/>
  <c r="J78" i="77"/>
  <c r="J74" i="77"/>
  <c r="F64" i="77"/>
  <c r="E17" i="67" s="1"/>
  <c r="J73" i="77"/>
  <c r="J72" i="77"/>
  <c r="N72" i="77" s="1"/>
  <c r="W15" i="16" s="1"/>
  <c r="W15" i="18" s="1"/>
  <c r="J71" i="77"/>
  <c r="N71" i="77" s="1"/>
  <c r="W14" i="16" s="1"/>
  <c r="W14" i="18" s="1"/>
  <c r="M68" i="77"/>
  <c r="V11" i="16" s="1"/>
  <c r="V11" i="18" s="1"/>
  <c r="N68" i="77"/>
  <c r="W11" i="16" s="1"/>
  <c r="W11" i="18" s="1"/>
  <c r="L87" i="78"/>
  <c r="K87" i="78"/>
  <c r="G64" i="78"/>
  <c r="F16" i="67" s="1"/>
  <c r="K76" i="78"/>
  <c r="J87" i="78"/>
  <c r="J84" i="78"/>
  <c r="J82" i="78"/>
  <c r="J81" i="78"/>
  <c r="L76" i="78"/>
  <c r="J73" i="78"/>
  <c r="M73" i="78" s="1"/>
  <c r="T16" i="16" s="1"/>
  <c r="J71" i="78"/>
  <c r="U26" i="78"/>
  <c r="W26" i="78" s="1"/>
  <c r="J70" i="78"/>
  <c r="M70" i="78" s="1"/>
  <c r="T13" i="16" s="1"/>
  <c r="F64" i="78"/>
  <c r="E16" i="67" s="1"/>
  <c r="K71" i="80"/>
  <c r="L80" i="82"/>
  <c r="M80" i="82" s="1"/>
  <c r="J23" i="16" s="1"/>
  <c r="J23" i="18" s="1"/>
  <c r="J80" i="81"/>
  <c r="N80" i="81" s="1"/>
  <c r="Q23" i="16" s="1"/>
  <c r="Q23" i="18" s="1"/>
  <c r="J87" i="80"/>
  <c r="N86" i="80"/>
  <c r="S29" i="16" s="1"/>
  <c r="S29" i="18" s="1"/>
  <c r="M86" i="80"/>
  <c r="R29" i="16" s="1"/>
  <c r="R29" i="18" s="1"/>
  <c r="J84" i="80"/>
  <c r="M84" i="80" s="1"/>
  <c r="R27" i="16" s="1"/>
  <c r="N83" i="80"/>
  <c r="S26" i="16" s="1"/>
  <c r="S26" i="18" s="1"/>
  <c r="M83" i="80"/>
  <c r="R26" i="16" s="1"/>
  <c r="R26" i="18" s="1"/>
  <c r="M82" i="80"/>
  <c r="R25" i="16" s="1"/>
  <c r="R25" i="18" s="1"/>
  <c r="N81" i="80"/>
  <c r="S24" i="16" s="1"/>
  <c r="S24" i="18" s="1"/>
  <c r="J79" i="80"/>
  <c r="M79" i="80" s="1"/>
  <c r="R22" i="16" s="1"/>
  <c r="J78" i="80"/>
  <c r="J75" i="80"/>
  <c r="J74" i="80"/>
  <c r="M74" i="80" s="1"/>
  <c r="R17" i="16" s="1"/>
  <c r="J73" i="80"/>
  <c r="J69" i="80"/>
  <c r="M69" i="80" s="1"/>
  <c r="R12" i="16" s="1"/>
  <c r="F64" i="80"/>
  <c r="E15" i="67" s="1"/>
  <c r="W35" i="80"/>
  <c r="W18" i="80"/>
  <c r="W16" i="80"/>
  <c r="W20" i="80"/>
  <c r="N68" i="80"/>
  <c r="S11" i="16" s="1"/>
  <c r="S11" i="18" s="1"/>
  <c r="M68" i="80"/>
  <c r="R11" i="16" s="1"/>
  <c r="W15" i="80"/>
  <c r="W29" i="80"/>
  <c r="W21" i="80"/>
  <c r="W36" i="80"/>
  <c r="L74" i="81"/>
  <c r="M74" i="81" s="1"/>
  <c r="P17" i="16" s="1"/>
  <c r="P17" i="18" s="1"/>
  <c r="L87" i="81"/>
  <c r="J87" i="81"/>
  <c r="J85" i="81"/>
  <c r="M85" i="81" s="1"/>
  <c r="P28" i="16" s="1"/>
  <c r="J84" i="81"/>
  <c r="N84" i="81" s="1"/>
  <c r="Q27" i="16" s="1"/>
  <c r="Q27" i="18" s="1"/>
  <c r="N82" i="81"/>
  <c r="Q25" i="16" s="1"/>
  <c r="Q25" i="18" s="1"/>
  <c r="M82" i="81"/>
  <c r="P25" i="16" s="1"/>
  <c r="J25" i="17" s="1"/>
  <c r="J25" i="19" s="1"/>
  <c r="L76" i="81"/>
  <c r="M76" i="81" s="1"/>
  <c r="P19" i="16" s="1"/>
  <c r="P19" i="18" s="1"/>
  <c r="M73" i="81"/>
  <c r="P16" i="16" s="1"/>
  <c r="P16" i="18" s="1"/>
  <c r="F64" i="81"/>
  <c r="E14" i="67" s="1"/>
  <c r="N70" i="81"/>
  <c r="Q13" i="16" s="1"/>
  <c r="Q13" i="18" s="1"/>
  <c r="M70" i="81"/>
  <c r="P13" i="16" s="1"/>
  <c r="P13" i="18" s="1"/>
  <c r="J67" i="81"/>
  <c r="M67" i="81" s="1"/>
  <c r="P10" i="16" s="1"/>
  <c r="J86" i="83"/>
  <c r="M86" i="83" s="1"/>
  <c r="N29" i="16" s="1"/>
  <c r="N29" i="18" s="1"/>
  <c r="W25" i="83"/>
  <c r="U33" i="83"/>
  <c r="W33" i="83" s="1"/>
  <c r="J77" i="83"/>
  <c r="N77" i="83" s="1"/>
  <c r="O20" i="16" s="1"/>
  <c r="O20" i="18" s="1"/>
  <c r="L76" i="83"/>
  <c r="N76" i="83" s="1"/>
  <c r="O19" i="16" s="1"/>
  <c r="O19" i="18" s="1"/>
  <c r="N74" i="83"/>
  <c r="O17" i="16" s="1"/>
  <c r="O17" i="18" s="1"/>
  <c r="M74" i="83"/>
  <c r="N17" i="16" s="1"/>
  <c r="N17" i="18" s="1"/>
  <c r="K72" i="83"/>
  <c r="J72" i="83"/>
  <c r="M72" i="83" s="1"/>
  <c r="N15" i="16" s="1"/>
  <c r="J71" i="83"/>
  <c r="J68" i="83"/>
  <c r="F64" i="83"/>
  <c r="E13" i="67" s="1"/>
  <c r="J67" i="83"/>
  <c r="M67" i="83" s="1"/>
  <c r="N10" i="16" s="1"/>
  <c r="K77" i="79"/>
  <c r="G64" i="79"/>
  <c r="F12" i="67" s="1"/>
  <c r="J77" i="79"/>
  <c r="N77" i="79" s="1"/>
  <c r="M20" i="16" s="1"/>
  <c r="M20" i="18" s="1"/>
  <c r="J87" i="79"/>
  <c r="J85" i="79"/>
  <c r="J80" i="79"/>
  <c r="N80" i="79" s="1"/>
  <c r="M23" i="16" s="1"/>
  <c r="M23" i="18" s="1"/>
  <c r="F64" i="79"/>
  <c r="E12" i="67" s="1"/>
  <c r="J73" i="79"/>
  <c r="N73" i="79" s="1"/>
  <c r="M16" i="16" s="1"/>
  <c r="M16" i="18" s="1"/>
  <c r="J72" i="79"/>
  <c r="W20" i="79"/>
  <c r="J86" i="82"/>
  <c r="J84" i="82"/>
  <c r="M84" i="82" s="1"/>
  <c r="J27" i="16" s="1"/>
  <c r="M83" i="82"/>
  <c r="J26" i="16" s="1"/>
  <c r="J26" i="18" s="1"/>
  <c r="J81" i="82"/>
  <c r="N81" i="82" s="1"/>
  <c r="K24" i="16" s="1"/>
  <c r="K24" i="18" s="1"/>
  <c r="J79" i="82"/>
  <c r="W23" i="82"/>
  <c r="K72" i="82"/>
  <c r="L72" i="82"/>
  <c r="J70" i="82"/>
  <c r="J69" i="82"/>
  <c r="M68" i="82"/>
  <c r="J11" i="16" s="1"/>
  <c r="W15" i="82"/>
  <c r="W20" i="82"/>
  <c r="W27" i="82"/>
  <c r="W18" i="82"/>
  <c r="F64" i="82"/>
  <c r="E11" i="67" s="1"/>
  <c r="J67" i="82"/>
  <c r="J85" i="84"/>
  <c r="N85" i="84" s="1"/>
  <c r="I28" i="16" s="1"/>
  <c r="I28" i="18" s="1"/>
  <c r="K83" i="84"/>
  <c r="U31" i="84"/>
  <c r="W31" i="84" s="1"/>
  <c r="J82" i="84"/>
  <c r="J76" i="84"/>
  <c r="J75" i="84"/>
  <c r="W18" i="84"/>
  <c r="W34" i="84"/>
  <c r="W20" i="84"/>
  <c r="W36" i="84"/>
  <c r="W19" i="84"/>
  <c r="F64" i="84"/>
  <c r="E10" i="67" s="1"/>
  <c r="W21" i="84"/>
  <c r="J67" i="84"/>
  <c r="J86" i="85"/>
  <c r="J85" i="85"/>
  <c r="J84" i="85"/>
  <c r="J82" i="85"/>
  <c r="J80" i="85"/>
  <c r="N80" i="85" s="1"/>
  <c r="G23" i="16" s="1"/>
  <c r="G23" i="18" s="1"/>
  <c r="J77" i="85"/>
  <c r="J76" i="85"/>
  <c r="J75" i="85"/>
  <c r="J74" i="85"/>
  <c r="L72" i="85"/>
  <c r="I28" i="67"/>
  <c r="I29" i="67" s="1"/>
  <c r="F64" i="85"/>
  <c r="E9" i="67" s="1"/>
  <c r="J71" i="85"/>
  <c r="M71" i="85" s="1"/>
  <c r="F14" i="16" s="1"/>
  <c r="J69" i="85"/>
  <c r="N69" i="85" s="1"/>
  <c r="G12" i="16" s="1"/>
  <c r="G12" i="18" s="1"/>
  <c r="W20" i="85"/>
  <c r="W28" i="85"/>
  <c r="W18" i="85"/>
  <c r="W23" i="85"/>
  <c r="W16" i="85"/>
  <c r="W34" i="85"/>
  <c r="J68" i="85"/>
  <c r="W36" i="85"/>
  <c r="J87" i="86"/>
  <c r="J83" i="86"/>
  <c r="U46" i="86"/>
  <c r="J80" i="86"/>
  <c r="U31" i="86"/>
  <c r="W31" i="86" s="1"/>
  <c r="J75" i="86"/>
  <c r="L73" i="86"/>
  <c r="J73" i="86"/>
  <c r="L72" i="86"/>
  <c r="J71" i="86"/>
  <c r="J69" i="86"/>
  <c r="F64" i="86"/>
  <c r="E8" i="67" s="1"/>
  <c r="K70" i="77"/>
  <c r="W17" i="77"/>
  <c r="W16" i="77"/>
  <c r="W15" i="77"/>
  <c r="W30" i="77"/>
  <c r="W19" i="77"/>
  <c r="W36" i="77"/>
  <c r="W29" i="77"/>
  <c r="W18" i="77"/>
  <c r="W35" i="77"/>
  <c r="W24" i="77"/>
  <c r="W20" i="77"/>
  <c r="W27" i="77"/>
  <c r="W22" i="77"/>
  <c r="W34" i="77"/>
  <c r="W21" i="77"/>
  <c r="M82" i="77"/>
  <c r="V25" i="16" s="1"/>
  <c r="N82" i="77"/>
  <c r="W25" i="16" s="1"/>
  <c r="W25" i="18" s="1"/>
  <c r="U46" i="77"/>
  <c r="W28" i="77"/>
  <c r="V23" i="18"/>
  <c r="N80" i="77"/>
  <c r="W23" i="16" s="1"/>
  <c r="W23" i="18" s="1"/>
  <c r="K78" i="77"/>
  <c r="U31" i="77"/>
  <c r="W31" i="77" s="1"/>
  <c r="W23" i="77"/>
  <c r="V19" i="18"/>
  <c r="N76" i="77"/>
  <c r="W19" i="16" s="1"/>
  <c r="W19" i="18" s="1"/>
  <c r="J75" i="77"/>
  <c r="K73" i="77"/>
  <c r="N73" i="77" s="1"/>
  <c r="W16" i="16" s="1"/>
  <c r="W16" i="18" s="1"/>
  <c r="E64" i="77"/>
  <c r="D17" i="67" s="1"/>
  <c r="M71" i="77"/>
  <c r="V14" i="16" s="1"/>
  <c r="U48" i="77"/>
  <c r="U53" i="77" s="1"/>
  <c r="U49" i="77"/>
  <c r="U40" i="77"/>
  <c r="U41" i="77"/>
  <c r="W25" i="77"/>
  <c r="U26" i="77"/>
  <c r="W26" i="77" s="1"/>
  <c r="D64" i="77"/>
  <c r="C17" i="67" s="1"/>
  <c r="W32" i="77"/>
  <c r="U33" i="77"/>
  <c r="W33" i="77" s="1"/>
  <c r="H40" i="77"/>
  <c r="H64" i="77" s="1"/>
  <c r="G17" i="67" s="1"/>
  <c r="L55" i="77"/>
  <c r="U56" i="77"/>
  <c r="U44" i="77"/>
  <c r="V42" i="77"/>
  <c r="U42" i="77" s="1"/>
  <c r="W13" i="77"/>
  <c r="J67" i="77"/>
  <c r="W16" i="73"/>
  <c r="W15" i="73"/>
  <c r="W36" i="73"/>
  <c r="W25" i="73"/>
  <c r="W13" i="73"/>
  <c r="K68" i="73"/>
  <c r="N68" i="73" s="1"/>
  <c r="AE11" i="16" s="1"/>
  <c r="AE11" i="18" s="1"/>
  <c r="W29" i="73"/>
  <c r="W21" i="73"/>
  <c r="W20" i="73"/>
  <c r="W27" i="73"/>
  <c r="W18" i="73"/>
  <c r="W30" i="73"/>
  <c r="W22" i="73"/>
  <c r="W24" i="73"/>
  <c r="W19" i="73"/>
  <c r="W34" i="73"/>
  <c r="M67" i="73"/>
  <c r="AD10" i="16" s="1"/>
  <c r="U44" i="73"/>
  <c r="V42" i="73"/>
  <c r="U42" i="73" s="1"/>
  <c r="M87" i="73"/>
  <c r="AD30" i="16" s="1"/>
  <c r="U56" i="73"/>
  <c r="W35" i="73"/>
  <c r="K83" i="73"/>
  <c r="N83" i="73" s="1"/>
  <c r="AE26" i="16" s="1"/>
  <c r="AE26" i="18" s="1"/>
  <c r="N81" i="73"/>
  <c r="AE24" i="16" s="1"/>
  <c r="AE24" i="18" s="1"/>
  <c r="M81" i="73"/>
  <c r="AD24" i="16" s="1"/>
  <c r="U46" i="73"/>
  <c r="W28" i="73"/>
  <c r="N77" i="73"/>
  <c r="AE20" i="16" s="1"/>
  <c r="AE20" i="18" s="1"/>
  <c r="M77" i="73"/>
  <c r="AD20" i="16" s="1"/>
  <c r="W23" i="73"/>
  <c r="U31" i="73"/>
  <c r="W31" i="73" s="1"/>
  <c r="AD18" i="18"/>
  <c r="K74" i="73"/>
  <c r="E64" i="73"/>
  <c r="D21" i="67" s="1"/>
  <c r="D64" i="73"/>
  <c r="C21" i="67" s="1"/>
  <c r="K71" i="73"/>
  <c r="M71" i="73" s="1"/>
  <c r="AD14" i="16" s="1"/>
  <c r="U48" i="73"/>
  <c r="U53" i="73" s="1"/>
  <c r="U49" i="73"/>
  <c r="U40" i="73"/>
  <c r="W17" i="73"/>
  <c r="U26" i="73"/>
  <c r="W26" i="73" s="1"/>
  <c r="U41" i="73"/>
  <c r="U33" i="73"/>
  <c r="W33" i="73" s="1"/>
  <c r="W32" i="73"/>
  <c r="L55" i="73"/>
  <c r="K79" i="73"/>
  <c r="H52" i="73"/>
  <c r="H64" i="73" s="1"/>
  <c r="G21" i="67" s="1"/>
  <c r="U51" i="73"/>
  <c r="U52" i="73"/>
  <c r="K69" i="74"/>
  <c r="K70" i="74"/>
  <c r="M70" i="74" s="1"/>
  <c r="AB13" i="16" s="1"/>
  <c r="N68" i="74"/>
  <c r="AC11" i="16" s="1"/>
  <c r="AC11" i="18" s="1"/>
  <c r="W28" i="74"/>
  <c r="W35" i="74"/>
  <c r="W19" i="74"/>
  <c r="W13" i="74"/>
  <c r="W17" i="74"/>
  <c r="W16" i="74"/>
  <c r="W15" i="74"/>
  <c r="W34" i="74"/>
  <c r="W36" i="74"/>
  <c r="W29" i="74"/>
  <c r="W22" i="74"/>
  <c r="W24" i="74"/>
  <c r="W30" i="74"/>
  <c r="W27" i="74"/>
  <c r="W21" i="74"/>
  <c r="W20" i="74"/>
  <c r="W18" i="74"/>
  <c r="U44" i="74"/>
  <c r="V42" i="74"/>
  <c r="U42" i="74" s="1"/>
  <c r="P10" i="17"/>
  <c r="P10" i="19" s="1"/>
  <c r="K87" i="74"/>
  <c r="U56" i="74"/>
  <c r="K85" i="74"/>
  <c r="N85" i="74" s="1"/>
  <c r="AC28" i="16" s="1"/>
  <c r="AC28" i="18" s="1"/>
  <c r="AB29" i="18"/>
  <c r="N86" i="74"/>
  <c r="AC29" i="16" s="1"/>
  <c r="AC29" i="18" s="1"/>
  <c r="K83" i="74"/>
  <c r="N82" i="74"/>
  <c r="AC25" i="16" s="1"/>
  <c r="AC25" i="18" s="1"/>
  <c r="U46" i="74"/>
  <c r="M78" i="74"/>
  <c r="AB21" i="16" s="1"/>
  <c r="K78" i="74"/>
  <c r="N78" i="74" s="1"/>
  <c r="AC21" i="16" s="1"/>
  <c r="AC21" i="18" s="1"/>
  <c r="M77" i="74"/>
  <c r="AB20" i="16" s="1"/>
  <c r="U31" i="74"/>
  <c r="W31" i="74" s="1"/>
  <c r="W23" i="74"/>
  <c r="E64" i="74"/>
  <c r="D20" i="67" s="1"/>
  <c r="AB19" i="18"/>
  <c r="N72" i="74"/>
  <c r="AC15" i="16" s="1"/>
  <c r="AC15" i="18" s="1"/>
  <c r="M72" i="74"/>
  <c r="AB15" i="16" s="1"/>
  <c r="M73" i="74"/>
  <c r="AB16" i="16" s="1"/>
  <c r="D64" i="74"/>
  <c r="C20" i="67" s="1"/>
  <c r="U49" i="74"/>
  <c r="U40" i="74"/>
  <c r="U48" i="74"/>
  <c r="U53" i="74" s="1"/>
  <c r="M71" i="74"/>
  <c r="AB14" i="16" s="1"/>
  <c r="U41" i="74"/>
  <c r="U33" i="74"/>
  <c r="W33" i="74" s="1"/>
  <c r="W32" i="74"/>
  <c r="N84" i="74"/>
  <c r="AC27" i="16" s="1"/>
  <c r="AC27" i="18" s="1"/>
  <c r="H52" i="74"/>
  <c r="H64" i="74" s="1"/>
  <c r="G20" i="67" s="1"/>
  <c r="L55" i="74"/>
  <c r="N79" i="74"/>
  <c r="AC22" i="16" s="1"/>
  <c r="AC22" i="18" s="1"/>
  <c r="M79" i="74"/>
  <c r="AB22" i="16" s="1"/>
  <c r="U26" i="74"/>
  <c r="W26" i="74" s="1"/>
  <c r="W25" i="74"/>
  <c r="U51" i="74"/>
  <c r="U52" i="74"/>
  <c r="K69" i="76"/>
  <c r="W28" i="76"/>
  <c r="W34" i="76"/>
  <c r="W19" i="76"/>
  <c r="W23" i="76"/>
  <c r="W16" i="76"/>
  <c r="W20" i="76"/>
  <c r="W29" i="76"/>
  <c r="W18" i="76"/>
  <c r="W30" i="76"/>
  <c r="W32" i="76"/>
  <c r="W25" i="76"/>
  <c r="W21" i="76"/>
  <c r="W13" i="76"/>
  <c r="W22" i="76"/>
  <c r="H64" i="76"/>
  <c r="G19" i="67" s="1"/>
  <c r="W24" i="76"/>
  <c r="K87" i="76"/>
  <c r="K85" i="76"/>
  <c r="U46" i="76"/>
  <c r="K78" i="76"/>
  <c r="U31" i="76"/>
  <c r="W31" i="76" s="1"/>
  <c r="D64" i="76"/>
  <c r="C19" i="67" s="1"/>
  <c r="U49" i="76"/>
  <c r="U41" i="76"/>
  <c r="U48" i="76"/>
  <c r="U53" i="76" s="1"/>
  <c r="U40" i="76"/>
  <c r="W17" i="76"/>
  <c r="U26" i="76"/>
  <c r="W26" i="76" s="1"/>
  <c r="M73" i="76"/>
  <c r="Z16" i="16" s="1"/>
  <c r="U56" i="76"/>
  <c r="V42" i="76"/>
  <c r="U42" i="76" s="1"/>
  <c r="U44" i="76"/>
  <c r="U52" i="76"/>
  <c r="U51" i="76"/>
  <c r="K87" i="75"/>
  <c r="M87" i="75"/>
  <c r="X30" i="16" s="1"/>
  <c r="N87" i="75"/>
  <c r="Y30" i="16" s="1"/>
  <c r="Y30" i="18" s="1"/>
  <c r="M85" i="75"/>
  <c r="X28" i="16" s="1"/>
  <c r="W34" i="75"/>
  <c r="J70" i="75"/>
  <c r="N12" i="17"/>
  <c r="N12" i="19" s="1"/>
  <c r="X12" i="18"/>
  <c r="N68" i="75"/>
  <c r="Y11" i="16" s="1"/>
  <c r="Y11" i="18" s="1"/>
  <c r="M68" i="75"/>
  <c r="X11" i="16" s="1"/>
  <c r="W15" i="75"/>
  <c r="W27" i="75"/>
  <c r="W24" i="75"/>
  <c r="X20" i="18"/>
  <c r="M76" i="75"/>
  <c r="X19" i="16" s="1"/>
  <c r="N76" i="75"/>
  <c r="Y19" i="16" s="1"/>
  <c r="Y19" i="18" s="1"/>
  <c r="N72" i="75"/>
  <c r="Y15" i="16" s="1"/>
  <c r="Y15" i="18" s="1"/>
  <c r="M72" i="75"/>
  <c r="X15" i="16" s="1"/>
  <c r="N15" i="17" s="1"/>
  <c r="N15" i="19" s="1"/>
  <c r="M75" i="75"/>
  <c r="X18" i="16" s="1"/>
  <c r="K73" i="75"/>
  <c r="N73" i="75" s="1"/>
  <c r="Y16" i="16" s="1"/>
  <c r="Y16" i="18" s="1"/>
  <c r="U40" i="75"/>
  <c r="U48" i="75"/>
  <c r="U53" i="75" s="1"/>
  <c r="U49" i="75"/>
  <c r="W17" i="75"/>
  <c r="W30" i="75"/>
  <c r="U31" i="75"/>
  <c r="W31" i="75" s="1"/>
  <c r="K83" i="75"/>
  <c r="M81" i="75"/>
  <c r="X24" i="16" s="1"/>
  <c r="X24" i="18" s="1"/>
  <c r="U46" i="75"/>
  <c r="W28" i="75"/>
  <c r="K82" i="75"/>
  <c r="U41" i="75"/>
  <c r="U33" i="75"/>
  <c r="W33" i="75" s="1"/>
  <c r="W32" i="75"/>
  <c r="D64" i="75"/>
  <c r="C18" i="67" s="1"/>
  <c r="E64" i="75"/>
  <c r="D18" i="67" s="1"/>
  <c r="U26" i="75"/>
  <c r="W26" i="75" s="1"/>
  <c r="W25" i="75"/>
  <c r="V42" i="75"/>
  <c r="U42" i="75" s="1"/>
  <c r="U56" i="75"/>
  <c r="U44" i="75"/>
  <c r="W13" i="75"/>
  <c r="H40" i="75"/>
  <c r="H64" i="75" s="1"/>
  <c r="G18" i="67" s="1"/>
  <c r="L55" i="75"/>
  <c r="U52" i="75"/>
  <c r="U51" i="75"/>
  <c r="U51" i="77"/>
  <c r="U52" i="77"/>
  <c r="U33" i="78"/>
  <c r="U31" i="78"/>
  <c r="W31" i="78" s="1"/>
  <c r="U46" i="78"/>
  <c r="K82" i="78"/>
  <c r="E64" i="78"/>
  <c r="D16" i="67" s="1"/>
  <c r="N73" i="78"/>
  <c r="U16" i="16" s="1"/>
  <c r="U16" i="18" s="1"/>
  <c r="M72" i="78"/>
  <c r="T15" i="16" s="1"/>
  <c r="N72" i="78"/>
  <c r="U15" i="16" s="1"/>
  <c r="U15" i="18" s="1"/>
  <c r="U48" i="78"/>
  <c r="U53" i="78" s="1"/>
  <c r="U49" i="78"/>
  <c r="D64" i="78"/>
  <c r="C16" i="67" s="1"/>
  <c r="U41" i="78"/>
  <c r="U40" i="78"/>
  <c r="W29" i="78"/>
  <c r="W27" i="78"/>
  <c r="W25" i="78"/>
  <c r="W17" i="78"/>
  <c r="W36" i="78"/>
  <c r="W23" i="78"/>
  <c r="W18" i="78"/>
  <c r="W16" i="78"/>
  <c r="W35" i="78"/>
  <c r="W22" i="78"/>
  <c r="W19" i="78"/>
  <c r="W34" i="78"/>
  <c r="W32" i="78"/>
  <c r="W30" i="78"/>
  <c r="W28" i="78"/>
  <c r="W24" i="78"/>
  <c r="W21" i="78"/>
  <c r="W20" i="78"/>
  <c r="W15" i="78"/>
  <c r="H64" i="78"/>
  <c r="G16" i="67" s="1"/>
  <c r="V42" i="78"/>
  <c r="U42" i="78" s="1"/>
  <c r="U44" i="78"/>
  <c r="U56" i="78"/>
  <c r="W13" i="78"/>
  <c r="L55" i="78"/>
  <c r="U51" i="78"/>
  <c r="U52" i="78"/>
  <c r="N84" i="80"/>
  <c r="S27" i="16" s="1"/>
  <c r="S27" i="18" s="1"/>
  <c r="U31" i="80"/>
  <c r="W31" i="80" s="1"/>
  <c r="U46" i="80"/>
  <c r="W28" i="80"/>
  <c r="U33" i="80"/>
  <c r="W33" i="80" s="1"/>
  <c r="W24" i="80"/>
  <c r="N78" i="80"/>
  <c r="S21" i="16" s="1"/>
  <c r="S21" i="18" s="1"/>
  <c r="K20" i="17"/>
  <c r="K20" i="19" s="1"/>
  <c r="M75" i="80"/>
  <c r="R18" i="16" s="1"/>
  <c r="N75" i="80"/>
  <c r="S18" i="16" s="1"/>
  <c r="S18" i="18" s="1"/>
  <c r="K73" i="80"/>
  <c r="U49" i="80"/>
  <c r="U48" i="80"/>
  <c r="U53" i="80" s="1"/>
  <c r="U26" i="80"/>
  <c r="W26" i="80" s="1"/>
  <c r="K70" i="80"/>
  <c r="M70" i="80" s="1"/>
  <c r="R13" i="16" s="1"/>
  <c r="L55" i="80"/>
  <c r="D64" i="80"/>
  <c r="C15" i="67" s="1"/>
  <c r="U41" i="80"/>
  <c r="U40" i="80"/>
  <c r="W19" i="80"/>
  <c r="W22" i="80"/>
  <c r="W25" i="80"/>
  <c r="W27" i="80"/>
  <c r="W34" i="80"/>
  <c r="E64" i="80"/>
  <c r="D15" i="67" s="1"/>
  <c r="H41" i="80"/>
  <c r="H64" i="80" s="1"/>
  <c r="G15" i="67" s="1"/>
  <c r="W17" i="80"/>
  <c r="W23" i="80"/>
  <c r="W30" i="80"/>
  <c r="W32" i="80"/>
  <c r="U56" i="80"/>
  <c r="V42" i="80"/>
  <c r="U42" i="80" s="1"/>
  <c r="U44" i="80"/>
  <c r="W13" i="80"/>
  <c r="K67" i="80"/>
  <c r="N67" i="80" s="1"/>
  <c r="S10" i="16" s="1"/>
  <c r="S10" i="18" s="1"/>
  <c r="U52" i="80"/>
  <c r="U51" i="80"/>
  <c r="K87" i="81"/>
  <c r="N85" i="81"/>
  <c r="Q28" i="16" s="1"/>
  <c r="Q28" i="18" s="1"/>
  <c r="U33" i="81"/>
  <c r="W33" i="81" s="1"/>
  <c r="U31" i="81"/>
  <c r="W31" i="81" s="1"/>
  <c r="P25" i="18"/>
  <c r="U46" i="81"/>
  <c r="J81" i="81"/>
  <c r="J22" i="17"/>
  <c r="J22" i="19" s="1"/>
  <c r="P22" i="18"/>
  <c r="P20" i="18"/>
  <c r="J20" i="17"/>
  <c r="J20" i="19" s="1"/>
  <c r="N76" i="81"/>
  <c r="Q19" i="16" s="1"/>
  <c r="Q19" i="18" s="1"/>
  <c r="N75" i="81"/>
  <c r="Q18" i="16" s="1"/>
  <c r="Q18" i="18" s="1"/>
  <c r="J16" i="17"/>
  <c r="J16" i="19" s="1"/>
  <c r="M72" i="81"/>
  <c r="P15" i="16" s="1"/>
  <c r="M71" i="81"/>
  <c r="P14" i="16" s="1"/>
  <c r="U49" i="81"/>
  <c r="U48" i="81"/>
  <c r="U53" i="81" s="1"/>
  <c r="D64" i="81"/>
  <c r="C14" i="67" s="1"/>
  <c r="U26" i="81"/>
  <c r="W26" i="81" s="1"/>
  <c r="E64" i="81"/>
  <c r="D14" i="67" s="1"/>
  <c r="U40" i="81"/>
  <c r="U41" i="81"/>
  <c r="W36" i="81"/>
  <c r="W28" i="81"/>
  <c r="W24" i="81"/>
  <c r="W21" i="81"/>
  <c r="W20" i="81"/>
  <c r="W18" i="81"/>
  <c r="W16" i="81"/>
  <c r="W35" i="81"/>
  <c r="W23" i="81"/>
  <c r="W17" i="81"/>
  <c r="W34" i="81"/>
  <c r="W32" i="81"/>
  <c r="W30" i="81"/>
  <c r="W27" i="81"/>
  <c r="W25" i="81"/>
  <c r="W22" i="81"/>
  <c r="W29" i="81"/>
  <c r="W19" i="81"/>
  <c r="W15" i="81"/>
  <c r="N68" i="81"/>
  <c r="Q11" i="16" s="1"/>
  <c r="Q11" i="18" s="1"/>
  <c r="H40" i="81"/>
  <c r="H64" i="81" s="1"/>
  <c r="G14" i="67" s="1"/>
  <c r="L55" i="81"/>
  <c r="V42" i="81"/>
  <c r="U42" i="81" s="1"/>
  <c r="U56" i="81"/>
  <c r="U44" i="81"/>
  <c r="W13" i="81"/>
  <c r="U52" i="81"/>
  <c r="U51" i="81"/>
  <c r="K85" i="83"/>
  <c r="U31" i="83"/>
  <c r="W31" i="83" s="1"/>
  <c r="K82" i="83"/>
  <c r="N82" i="83" s="1"/>
  <c r="O25" i="16" s="1"/>
  <c r="O25" i="18" s="1"/>
  <c r="U46" i="83"/>
  <c r="M81" i="83"/>
  <c r="N24" i="16" s="1"/>
  <c r="N81" i="83"/>
  <c r="O24" i="16" s="1"/>
  <c r="O24" i="18" s="1"/>
  <c r="W28" i="83"/>
  <c r="U48" i="83"/>
  <c r="U53" i="83" s="1"/>
  <c r="U49" i="83"/>
  <c r="U26" i="83"/>
  <c r="W22" i="83"/>
  <c r="W36" i="83"/>
  <c r="W20" i="83"/>
  <c r="W27" i="83"/>
  <c r="W19" i="83"/>
  <c r="U40" i="83"/>
  <c r="U41" i="83"/>
  <c r="W15" i="83"/>
  <c r="W16" i="83"/>
  <c r="W17" i="83"/>
  <c r="W23" i="83"/>
  <c r="W29" i="83"/>
  <c r="W32" i="83"/>
  <c r="W34" i="83"/>
  <c r="E64" i="83"/>
  <c r="D13" i="67" s="1"/>
  <c r="W18" i="83"/>
  <c r="W21" i="83"/>
  <c r="W24" i="83"/>
  <c r="W30" i="83"/>
  <c r="W35" i="83"/>
  <c r="D64" i="83"/>
  <c r="C13" i="67" s="1"/>
  <c r="U44" i="83"/>
  <c r="V42" i="83"/>
  <c r="U42" i="83" s="1"/>
  <c r="U56" i="83"/>
  <c r="W13" i="83"/>
  <c r="L55" i="83"/>
  <c r="H40" i="83"/>
  <c r="H64" i="83" s="1"/>
  <c r="G13" i="67" s="1"/>
  <c r="U52" i="83"/>
  <c r="U51" i="83"/>
  <c r="K72" i="79"/>
  <c r="M72" i="79" s="1"/>
  <c r="L15" i="16" s="1"/>
  <c r="K86" i="84"/>
  <c r="K85" i="79"/>
  <c r="K87" i="79"/>
  <c r="M11" i="18"/>
  <c r="W16" i="79"/>
  <c r="W21" i="79"/>
  <c r="W15" i="79"/>
  <c r="W19" i="79"/>
  <c r="W23" i="79"/>
  <c r="W34" i="79"/>
  <c r="W29" i="79"/>
  <c r="W30" i="79"/>
  <c r="W36" i="79"/>
  <c r="W22" i="79"/>
  <c r="W24" i="79"/>
  <c r="U44" i="79"/>
  <c r="V42" i="79"/>
  <c r="U42" i="79" s="1"/>
  <c r="W13" i="79"/>
  <c r="U56" i="79"/>
  <c r="W35" i="79"/>
  <c r="J86" i="79"/>
  <c r="M83" i="79"/>
  <c r="L26" i="16" s="1"/>
  <c r="U31" i="79"/>
  <c r="W31" i="79" s="1"/>
  <c r="U46" i="79"/>
  <c r="W28" i="79"/>
  <c r="U33" i="79"/>
  <c r="W33" i="79" s="1"/>
  <c r="J76" i="79"/>
  <c r="N75" i="79"/>
  <c r="M18" i="16" s="1"/>
  <c r="M18" i="18" s="1"/>
  <c r="M75" i="79"/>
  <c r="L18" i="16" s="1"/>
  <c r="U49" i="79"/>
  <c r="U48" i="79"/>
  <c r="U53" i="79" s="1"/>
  <c r="W17" i="79"/>
  <c r="U40" i="79"/>
  <c r="W18" i="79"/>
  <c r="E64" i="79"/>
  <c r="D12" i="67" s="1"/>
  <c r="H54" i="79"/>
  <c r="H64" i="79" s="1"/>
  <c r="G12" i="67" s="1"/>
  <c r="L55" i="79"/>
  <c r="U41" i="79"/>
  <c r="W27" i="79"/>
  <c r="D64" i="79"/>
  <c r="C12" i="67" s="1"/>
  <c r="U26" i="79"/>
  <c r="W26" i="79" s="1"/>
  <c r="W25" i="79"/>
  <c r="M22" i="18"/>
  <c r="U51" i="79"/>
  <c r="U52" i="79"/>
  <c r="K69" i="82"/>
  <c r="M86" i="82"/>
  <c r="J29" i="16" s="1"/>
  <c r="N86" i="82"/>
  <c r="K29" i="16" s="1"/>
  <c r="K29" i="18" s="1"/>
  <c r="M85" i="82"/>
  <c r="J28" i="16" s="1"/>
  <c r="N85" i="82"/>
  <c r="K28" i="16" s="1"/>
  <c r="K28" i="18" s="1"/>
  <c r="U31" i="82"/>
  <c r="W31" i="82" s="1"/>
  <c r="U46" i="82"/>
  <c r="W28" i="82"/>
  <c r="N79" i="82"/>
  <c r="K22" i="16" s="1"/>
  <c r="K22" i="18" s="1"/>
  <c r="J21" i="18"/>
  <c r="N78" i="82"/>
  <c r="K21" i="16" s="1"/>
  <c r="K21" i="18" s="1"/>
  <c r="N77" i="82"/>
  <c r="K20" i="16" s="1"/>
  <c r="K20" i="18" s="1"/>
  <c r="M77" i="82"/>
  <c r="J20" i="16" s="1"/>
  <c r="N76" i="82"/>
  <c r="K19" i="16" s="1"/>
  <c r="K19" i="18" s="1"/>
  <c r="K75" i="82"/>
  <c r="M73" i="82"/>
  <c r="J16" i="16" s="1"/>
  <c r="N73" i="82"/>
  <c r="K16" i="16" s="1"/>
  <c r="K16" i="18" s="1"/>
  <c r="U49" i="82"/>
  <c r="U48" i="82"/>
  <c r="U53" i="82" s="1"/>
  <c r="W17" i="82"/>
  <c r="U26" i="82"/>
  <c r="W26" i="82" s="1"/>
  <c r="N71" i="82"/>
  <c r="K14" i="16" s="1"/>
  <c r="K14" i="18" s="1"/>
  <c r="M71" i="82"/>
  <c r="J14" i="16" s="1"/>
  <c r="E64" i="82"/>
  <c r="D11" i="67" s="1"/>
  <c r="W32" i="82"/>
  <c r="U33" i="82"/>
  <c r="W33" i="82" s="1"/>
  <c r="J11" i="18"/>
  <c r="H64" i="82"/>
  <c r="G11" i="67" s="1"/>
  <c r="U40" i="82"/>
  <c r="U41" i="82"/>
  <c r="D64" i="82"/>
  <c r="C11" i="67" s="1"/>
  <c r="U56" i="82"/>
  <c r="V42" i="82"/>
  <c r="U42" i="82" s="1"/>
  <c r="U44" i="82"/>
  <c r="W13" i="82"/>
  <c r="L55" i="82"/>
  <c r="U52" i="82"/>
  <c r="U51" i="82"/>
  <c r="U33" i="84"/>
  <c r="W33" i="84" s="1"/>
  <c r="W24" i="84"/>
  <c r="K74" i="84"/>
  <c r="N74" i="84" s="1"/>
  <c r="I17" i="16" s="1"/>
  <c r="I17" i="18" s="1"/>
  <c r="D64" i="84"/>
  <c r="C10" i="67" s="1"/>
  <c r="K72" i="84"/>
  <c r="J73" i="84"/>
  <c r="U52" i="84"/>
  <c r="U49" i="84"/>
  <c r="U48" i="84"/>
  <c r="U53" i="84" s="1"/>
  <c r="U51" i="84"/>
  <c r="U26" i="84"/>
  <c r="W26" i="84" s="1"/>
  <c r="N82" i="84"/>
  <c r="I25" i="16" s="1"/>
  <c r="I25" i="18" s="1"/>
  <c r="U46" i="84"/>
  <c r="W28" i="84"/>
  <c r="J79" i="84"/>
  <c r="K70" i="84"/>
  <c r="L55" i="84"/>
  <c r="H41" i="84"/>
  <c r="H64" i="84" s="1"/>
  <c r="G10" i="67" s="1"/>
  <c r="U41" i="84"/>
  <c r="U40" i="84"/>
  <c r="E64" i="84"/>
  <c r="D10" i="67" s="1"/>
  <c r="W22" i="84"/>
  <c r="W27" i="84"/>
  <c r="W29" i="84"/>
  <c r="W32" i="84"/>
  <c r="W15" i="84"/>
  <c r="W16" i="84"/>
  <c r="W17" i="84"/>
  <c r="W23" i="84"/>
  <c r="W25" i="84"/>
  <c r="W30" i="84"/>
  <c r="W35" i="84"/>
  <c r="M67" i="84"/>
  <c r="H10" i="16" s="1"/>
  <c r="V42" i="84"/>
  <c r="U42" i="84" s="1"/>
  <c r="U56" i="84"/>
  <c r="U44" i="84"/>
  <c r="W13" i="84"/>
  <c r="U33" i="85"/>
  <c r="W33" i="85" s="1"/>
  <c r="U49" i="85"/>
  <c r="U48" i="85"/>
  <c r="U53" i="85" s="1"/>
  <c r="U51" i="85"/>
  <c r="U52" i="85"/>
  <c r="W30" i="85"/>
  <c r="U31" i="85"/>
  <c r="W31" i="85" s="1"/>
  <c r="E64" i="85"/>
  <c r="D9" i="67" s="1"/>
  <c r="U46" i="85"/>
  <c r="K84" i="85"/>
  <c r="D64" i="85"/>
  <c r="C9" i="67" s="1"/>
  <c r="W25" i="85"/>
  <c r="U26" i="85"/>
  <c r="W26" i="85" s="1"/>
  <c r="W17" i="85"/>
  <c r="W21" i="85"/>
  <c r="W24" i="85"/>
  <c r="W27" i="85"/>
  <c r="U40" i="85"/>
  <c r="U41" i="85"/>
  <c r="H64" i="85"/>
  <c r="G9" i="67" s="1"/>
  <c r="W15" i="85"/>
  <c r="W19" i="85"/>
  <c r="W22" i="85"/>
  <c r="W29" i="85"/>
  <c r="W32" i="85"/>
  <c r="W35" i="85"/>
  <c r="V42" i="85"/>
  <c r="U42" i="85" s="1"/>
  <c r="W13" i="85"/>
  <c r="U56" i="85"/>
  <c r="U44" i="85"/>
  <c r="H28" i="67"/>
  <c r="H29" i="67" s="1"/>
  <c r="U33" i="86"/>
  <c r="W33" i="86" s="1"/>
  <c r="U48" i="86"/>
  <c r="U53" i="86" s="1"/>
  <c r="U49" i="86"/>
  <c r="U52" i="86"/>
  <c r="U26" i="86"/>
  <c r="W26" i="86" s="1"/>
  <c r="U51" i="86"/>
  <c r="J82" i="86"/>
  <c r="B67" i="68"/>
  <c r="B81" i="68"/>
  <c r="B49" i="69"/>
  <c r="B72" i="70"/>
  <c r="B84" i="70"/>
  <c r="R18" i="71"/>
  <c r="B40" i="71"/>
  <c r="R28" i="72"/>
  <c r="B68" i="73"/>
  <c r="B84" i="73"/>
  <c r="B85" i="74"/>
  <c r="B78" i="76"/>
  <c r="R17" i="78"/>
  <c r="R32" i="78"/>
  <c r="B47" i="78"/>
  <c r="B71" i="78"/>
  <c r="B79" i="78"/>
  <c r="B84" i="78"/>
  <c r="R18" i="79"/>
  <c r="B46" i="79"/>
  <c r="B49" i="79"/>
  <c r="R29" i="80"/>
  <c r="B47" i="80"/>
  <c r="B74" i="80"/>
  <c r="R34" i="81"/>
  <c r="B46" i="81"/>
  <c r="B69" i="82"/>
  <c r="B77" i="82"/>
  <c r="B85" i="82"/>
  <c r="R20" i="83"/>
  <c r="R21" i="83"/>
  <c r="R29" i="83"/>
  <c r="B44" i="83"/>
  <c r="B52" i="83"/>
  <c r="R19" i="84"/>
  <c r="R32" i="84"/>
  <c r="B44" i="84"/>
  <c r="B46" i="84"/>
  <c r="B54" i="84"/>
  <c r="B70" i="84"/>
  <c r="S54" i="69"/>
  <c r="S54" i="68"/>
  <c r="S54" i="72"/>
  <c r="S54" i="80"/>
  <c r="S54" i="83"/>
  <c r="S54" i="82"/>
  <c r="S54" i="74"/>
  <c r="S54" i="75"/>
  <c r="S54" i="76"/>
  <c r="S54" i="77"/>
  <c r="S54" i="21"/>
  <c r="S54" i="70"/>
  <c r="S54" i="71"/>
  <c r="S54" i="73"/>
  <c r="S54" i="78"/>
  <c r="S54" i="79"/>
  <c r="S54" i="81"/>
  <c r="B7" i="67"/>
  <c r="T41" i="73"/>
  <c r="T42" i="74"/>
  <c r="T41" i="76"/>
  <c r="T42" i="75"/>
  <c r="T41" i="77"/>
  <c r="T41" i="21"/>
  <c r="T42" i="69"/>
  <c r="T41" i="70"/>
  <c r="T42" i="68"/>
  <c r="T41" i="71"/>
  <c r="T42" i="72"/>
  <c r="T40" i="74"/>
  <c r="T40" i="75"/>
  <c r="T40" i="78"/>
  <c r="T40" i="81"/>
  <c r="T40" i="79"/>
  <c r="T42" i="85"/>
  <c r="T40" i="85"/>
  <c r="T41" i="78"/>
  <c r="T42" i="80"/>
  <c r="T41" i="81"/>
  <c r="T42" i="83"/>
  <c r="T41" i="79"/>
  <c r="T42" i="82"/>
  <c r="T42" i="84"/>
  <c r="T40" i="84"/>
  <c r="T40" i="69"/>
  <c r="T40" i="68"/>
  <c r="T40" i="72"/>
  <c r="T42" i="73"/>
  <c r="T41" i="74"/>
  <c r="T42" i="76"/>
  <c r="T41" i="75"/>
  <c r="T42" i="77"/>
  <c r="T42" i="21"/>
  <c r="T41" i="69"/>
  <c r="T42" i="70"/>
  <c r="T41" i="68"/>
  <c r="T42" i="71"/>
  <c r="T41" i="72"/>
  <c r="T40" i="73"/>
  <c r="T40" i="76"/>
  <c r="T40" i="77"/>
  <c r="T40" i="80"/>
  <c r="T40" i="83"/>
  <c r="T40" i="82"/>
  <c r="T41" i="85"/>
  <c r="T40" i="21"/>
  <c r="T40" i="70"/>
  <c r="T40" i="71"/>
  <c r="T41" i="83"/>
  <c r="T42" i="79"/>
  <c r="T41" i="84"/>
  <c r="T42" i="81"/>
  <c r="T41" i="82"/>
  <c r="T42" i="78"/>
  <c r="T41" i="80"/>
  <c r="R34" i="68"/>
  <c r="B44" i="68"/>
  <c r="B43" i="69"/>
  <c r="B48" i="75"/>
  <c r="R22" i="79"/>
  <c r="B45" i="79"/>
  <c r="B42" i="80"/>
  <c r="B50" i="80"/>
  <c r="R19" i="81"/>
  <c r="B54" i="81"/>
  <c r="R15" i="82"/>
  <c r="R23" i="82"/>
  <c r="R34" i="82"/>
  <c r="R35" i="83"/>
  <c r="B43" i="83"/>
  <c r="B51" i="83"/>
  <c r="R17" i="68"/>
  <c r="R16" i="69"/>
  <c r="B72" i="69"/>
  <c r="R21" i="70"/>
  <c r="B48" i="70"/>
  <c r="R30" i="71"/>
  <c r="B42" i="71"/>
  <c r="B46" i="71"/>
  <c r="B48" i="71"/>
  <c r="B55" i="71"/>
  <c r="B74" i="71"/>
  <c r="B82" i="71"/>
  <c r="R17" i="72"/>
  <c r="R30" i="72"/>
  <c r="R34" i="72"/>
  <c r="B83" i="72"/>
  <c r="R28" i="73"/>
  <c r="B42" i="73"/>
  <c r="B44" i="73"/>
  <c r="B46" i="73"/>
  <c r="B50" i="73"/>
  <c r="B52" i="73"/>
  <c r="B55" i="73"/>
  <c r="B43" i="74"/>
  <c r="B87" i="74"/>
  <c r="R17" i="75"/>
  <c r="R14" i="76"/>
  <c r="R17" i="76"/>
  <c r="R22" i="76"/>
  <c r="B41" i="76"/>
  <c r="B49" i="76"/>
  <c r="R20" i="78"/>
  <c r="R15" i="79"/>
  <c r="B42" i="81"/>
  <c r="B62" i="83"/>
  <c r="R27" i="84"/>
  <c r="B86" i="84"/>
  <c r="T41" i="86"/>
  <c r="K68" i="86"/>
  <c r="E64" i="86"/>
  <c r="D8" i="67" s="1"/>
  <c r="U41" i="86"/>
  <c r="W36" i="86"/>
  <c r="W28" i="86"/>
  <c r="W24" i="86"/>
  <c r="W22" i="86"/>
  <c r="W20" i="86"/>
  <c r="W18" i="86"/>
  <c r="W16" i="86"/>
  <c r="W15" i="86"/>
  <c r="W35" i="86"/>
  <c r="W30" i="86"/>
  <c r="W27" i="86"/>
  <c r="W21" i="86"/>
  <c r="W17" i="86"/>
  <c r="U40" i="86"/>
  <c r="W32" i="86"/>
  <c r="W29" i="86"/>
  <c r="W23" i="86"/>
  <c r="W34" i="86"/>
  <c r="W25" i="86"/>
  <c r="W19" i="86"/>
  <c r="D64" i="86"/>
  <c r="C8" i="67" s="1"/>
  <c r="L55" i="86"/>
  <c r="K67" i="86"/>
  <c r="M67" i="86" s="1"/>
  <c r="D10" i="16" s="1"/>
  <c r="U44" i="86"/>
  <c r="U56" i="86"/>
  <c r="W13" i="86"/>
  <c r="H40" i="86"/>
  <c r="H64" i="86" s="1"/>
  <c r="G8" i="67" s="1"/>
  <c r="B78" i="68"/>
  <c r="B51" i="68"/>
  <c r="R34" i="69"/>
  <c r="B85" i="69"/>
  <c r="B61" i="69"/>
  <c r="B78" i="70"/>
  <c r="B51" i="70"/>
  <c r="R23" i="72"/>
  <c r="B77" i="72"/>
  <c r="B87" i="72"/>
  <c r="R36" i="72"/>
  <c r="B47" i="81"/>
  <c r="R20" i="81"/>
  <c r="B74" i="81"/>
  <c r="B80" i="82"/>
  <c r="B54" i="82"/>
  <c r="B62" i="69"/>
  <c r="B86" i="69"/>
  <c r="R35" i="69"/>
  <c r="B72" i="72"/>
  <c r="B45" i="72"/>
  <c r="R18" i="72"/>
  <c r="B74" i="74"/>
  <c r="R20" i="74"/>
  <c r="B82" i="74"/>
  <c r="B56" i="74"/>
  <c r="B78" i="75"/>
  <c r="B51" i="75"/>
  <c r="R24" i="75"/>
  <c r="B85" i="76"/>
  <c r="R34" i="76"/>
  <c r="B71" i="81"/>
  <c r="R17" i="81"/>
  <c r="B70" i="82"/>
  <c r="B43" i="82"/>
  <c r="R16" i="82"/>
  <c r="R24" i="82"/>
  <c r="B78" i="82"/>
  <c r="B51" i="82"/>
  <c r="B62" i="82"/>
  <c r="R35" i="82"/>
  <c r="B86" i="82"/>
  <c r="B69" i="86"/>
  <c r="B42" i="86"/>
  <c r="R15" i="86"/>
  <c r="B41" i="70"/>
  <c r="R14" i="70"/>
  <c r="B81" i="70"/>
  <c r="B55" i="70"/>
  <c r="R18" i="82"/>
  <c r="B72" i="82"/>
  <c r="B45" i="82"/>
  <c r="R21" i="68"/>
  <c r="B43" i="68"/>
  <c r="B45" i="68"/>
  <c r="B74" i="68"/>
  <c r="B47" i="68"/>
  <c r="B80" i="68"/>
  <c r="B54" i="68"/>
  <c r="B83" i="68"/>
  <c r="R29" i="69"/>
  <c r="B44" i="69"/>
  <c r="B50" i="69"/>
  <c r="B52" i="69"/>
  <c r="R24" i="69"/>
  <c r="B78" i="69"/>
  <c r="B81" i="69"/>
  <c r="R28" i="69"/>
  <c r="B84" i="69"/>
  <c r="R36" i="69"/>
  <c r="B87" i="69"/>
  <c r="B63" i="69"/>
  <c r="R24" i="70"/>
  <c r="B50" i="72"/>
  <c r="B63" i="72"/>
  <c r="B69" i="76"/>
  <c r="R15" i="76"/>
  <c r="B42" i="76"/>
  <c r="B75" i="76"/>
  <c r="R21" i="76"/>
  <c r="B48" i="76"/>
  <c r="B68" i="82"/>
  <c r="B41" i="82"/>
  <c r="R14" i="82"/>
  <c r="R22" i="82"/>
  <c r="B76" i="82"/>
  <c r="B49" i="82"/>
  <c r="B59" i="82"/>
  <c r="B84" i="82"/>
  <c r="R32" i="82"/>
  <c r="B85" i="84"/>
  <c r="B61" i="84"/>
  <c r="R34" i="84"/>
  <c r="B48" i="68"/>
  <c r="B73" i="69"/>
  <c r="R19" i="69"/>
  <c r="B76" i="69"/>
  <c r="B82" i="69"/>
  <c r="B68" i="70"/>
  <c r="B86" i="70"/>
  <c r="R35" i="70"/>
  <c r="R29" i="74"/>
  <c r="B47" i="74"/>
  <c r="B44" i="81"/>
  <c r="R27" i="82"/>
  <c r="B74" i="82"/>
  <c r="B47" i="82"/>
  <c r="R20" i="82"/>
  <c r="B56" i="82"/>
  <c r="B82" i="82"/>
  <c r="B69" i="84"/>
  <c r="B42" i="84"/>
  <c r="B75" i="84"/>
  <c r="B48" i="84"/>
  <c r="R21" i="84"/>
  <c r="B72" i="74"/>
  <c r="R18" i="74"/>
  <c r="R20" i="76"/>
  <c r="B47" i="76"/>
  <c r="B82" i="76"/>
  <c r="B56" i="76"/>
  <c r="R29" i="76"/>
  <c r="B72" i="78"/>
  <c r="B76" i="78"/>
  <c r="B78" i="78"/>
  <c r="B82" i="78"/>
  <c r="B40" i="79"/>
  <c r="R13" i="79"/>
  <c r="B71" i="79"/>
  <c r="B44" i="79"/>
  <c r="B75" i="79"/>
  <c r="R21" i="79"/>
  <c r="B48" i="79"/>
  <c r="B79" i="79"/>
  <c r="R25" i="79"/>
  <c r="B83" i="79"/>
  <c r="B57" i="79"/>
  <c r="R30" i="79"/>
  <c r="B87" i="79"/>
  <c r="R36" i="79"/>
  <c r="B61" i="81"/>
  <c r="B68" i="81"/>
  <c r="B41" i="81"/>
  <c r="R14" i="81"/>
  <c r="B72" i="83"/>
  <c r="R18" i="83"/>
  <c r="B76" i="83"/>
  <c r="B49" i="83"/>
  <c r="R22" i="83"/>
  <c r="B80" i="83"/>
  <c r="B54" i="83"/>
  <c r="R27" i="83"/>
  <c r="B84" i="83"/>
  <c r="R32" i="83"/>
  <c r="B70" i="85"/>
  <c r="B43" i="85"/>
  <c r="R16" i="85"/>
  <c r="B76" i="85"/>
  <c r="B49" i="85"/>
  <c r="B86" i="85"/>
  <c r="R35" i="85"/>
  <c r="B62" i="85"/>
  <c r="B78" i="86"/>
  <c r="B51" i="86"/>
  <c r="B40" i="69"/>
  <c r="B67" i="69"/>
  <c r="B83" i="69"/>
  <c r="B57" i="69"/>
  <c r="R30" i="69"/>
  <c r="B70" i="70"/>
  <c r="R16" i="70"/>
  <c r="B73" i="70"/>
  <c r="B46" i="70"/>
  <c r="B79" i="70"/>
  <c r="B52" i="70"/>
  <c r="B63" i="71"/>
  <c r="B67" i="71"/>
  <c r="B71" i="71"/>
  <c r="B73" i="71"/>
  <c r="B75" i="71"/>
  <c r="B77" i="71"/>
  <c r="B79" i="71"/>
  <c r="B83" i="71"/>
  <c r="B85" i="71"/>
  <c r="B79" i="72"/>
  <c r="R25" i="72"/>
  <c r="B85" i="72"/>
  <c r="B57" i="73"/>
  <c r="B61" i="73"/>
  <c r="B63" i="73"/>
  <c r="B67" i="73"/>
  <c r="B69" i="73"/>
  <c r="B71" i="73"/>
  <c r="B73" i="73"/>
  <c r="B75" i="73"/>
  <c r="B77" i="73"/>
  <c r="B79" i="73"/>
  <c r="B85" i="73"/>
  <c r="B87" i="73"/>
  <c r="B78" i="74"/>
  <c r="R24" i="74"/>
  <c r="R19" i="75"/>
  <c r="B46" i="75"/>
  <c r="B67" i="76"/>
  <c r="B40" i="76"/>
  <c r="B77" i="76"/>
  <c r="R23" i="76"/>
  <c r="B83" i="76"/>
  <c r="R30" i="76"/>
  <c r="B62" i="78"/>
  <c r="R35" i="78"/>
  <c r="B57" i="80"/>
  <c r="B61" i="80"/>
  <c r="B63" i="80"/>
  <c r="B67" i="80"/>
  <c r="B69" i="80"/>
  <c r="B71" i="80"/>
  <c r="B73" i="80"/>
  <c r="B75" i="80"/>
  <c r="B77" i="80"/>
  <c r="B79" i="80"/>
  <c r="B85" i="80"/>
  <c r="B87" i="80"/>
  <c r="B67" i="84"/>
  <c r="B40" i="84"/>
  <c r="B77" i="84"/>
  <c r="B50" i="84"/>
  <c r="B83" i="84"/>
  <c r="R30" i="84"/>
  <c r="B72" i="85"/>
  <c r="B45" i="85"/>
  <c r="B82" i="85"/>
  <c r="R29" i="85"/>
  <c r="B73" i="86"/>
  <c r="B46" i="86"/>
  <c r="R19" i="86"/>
  <c r="B85" i="86"/>
  <c r="B61" i="86"/>
  <c r="R34" i="86"/>
  <c r="B74" i="72"/>
  <c r="B47" i="72"/>
  <c r="B80" i="72"/>
  <c r="B54" i="72"/>
  <c r="B68" i="74"/>
  <c r="R14" i="74"/>
  <c r="B76" i="74"/>
  <c r="R22" i="74"/>
  <c r="B84" i="74"/>
  <c r="R32" i="74"/>
  <c r="B69" i="75"/>
  <c r="R15" i="75"/>
  <c r="B77" i="75"/>
  <c r="R23" i="75"/>
  <c r="B54" i="76"/>
  <c r="R27" i="76"/>
  <c r="B70" i="77"/>
  <c r="B43" i="77"/>
  <c r="B74" i="77"/>
  <c r="R20" i="77"/>
  <c r="B47" i="77"/>
  <c r="B86" i="77"/>
  <c r="B62" i="77"/>
  <c r="R35" i="77"/>
  <c r="B70" i="81"/>
  <c r="B43" i="81"/>
  <c r="R16" i="81"/>
  <c r="B77" i="81"/>
  <c r="R23" i="81"/>
  <c r="B81" i="81"/>
  <c r="B55" i="81"/>
  <c r="B74" i="86"/>
  <c r="R20" i="86"/>
  <c r="B84" i="84"/>
  <c r="B78" i="85"/>
  <c r="B51" i="85"/>
  <c r="R24" i="85"/>
  <c r="B81" i="86"/>
  <c r="R28" i="86"/>
  <c r="B55" i="86"/>
  <c r="B86" i="86"/>
  <c r="B62" i="86"/>
  <c r="B50" i="70"/>
  <c r="R13" i="72"/>
  <c r="B43" i="72"/>
  <c r="B51" i="72"/>
  <c r="R25" i="75"/>
  <c r="R36" i="75"/>
  <c r="R15" i="81"/>
  <c r="R30" i="81"/>
  <c r="R36" i="81"/>
  <c r="B52" i="81"/>
  <c r="R24" i="83"/>
  <c r="B47" i="83"/>
  <c r="B87" i="84"/>
  <c r="B63" i="84"/>
  <c r="B74" i="85"/>
  <c r="B47" i="85"/>
  <c r="R20" i="85"/>
  <c r="B77" i="86"/>
  <c r="B50" i="86"/>
  <c r="B14" i="86"/>
  <c r="B17" i="86"/>
  <c r="B22" i="86"/>
  <c r="B25" i="86"/>
  <c r="B32" i="86"/>
  <c r="B36" i="86"/>
  <c r="Z8" i="17"/>
  <c r="Y8" i="17"/>
  <c r="D8" i="17"/>
  <c r="D8" i="19" s="1"/>
  <c r="T8" i="17"/>
  <c r="T8" i="19" s="1"/>
  <c r="Q8" i="17"/>
  <c r="Q8" i="19" s="1"/>
  <c r="M8" i="17"/>
  <c r="M8" i="19" s="1"/>
  <c r="J8" i="17"/>
  <c r="J8" i="19" s="1"/>
  <c r="E8" i="17"/>
  <c r="E8" i="19" s="1"/>
  <c r="AP8" i="16"/>
  <c r="AP8" i="18" s="1"/>
  <c r="AF8" i="16"/>
  <c r="AF8" i="18" s="1"/>
  <c r="Z8" i="16"/>
  <c r="Z8" i="18" s="1"/>
  <c r="P8" i="16"/>
  <c r="P8" i="18" s="1"/>
  <c r="J8" i="16"/>
  <c r="J8" i="18" s="1"/>
  <c r="Y7" i="19"/>
  <c r="AS7" i="18" s="1"/>
  <c r="B27" i="21"/>
  <c r="B16" i="21"/>
  <c r="D8" i="20"/>
  <c r="G8" i="20" s="1"/>
  <c r="J8" i="20" s="1"/>
  <c r="B41" i="44"/>
  <c r="C17" i="65"/>
  <c r="I39" i="21"/>
  <c r="I39" i="69"/>
  <c r="I39" i="70"/>
  <c r="I39" i="68"/>
  <c r="I39" i="71"/>
  <c r="I39" i="72"/>
  <c r="I39" i="73"/>
  <c r="I39" i="74"/>
  <c r="I39" i="76"/>
  <c r="I39" i="75"/>
  <c r="I39" i="77"/>
  <c r="I39" i="78"/>
  <c r="I39" i="80"/>
  <c r="I39" i="81"/>
  <c r="I39" i="83"/>
  <c r="I39" i="79"/>
  <c r="I39" i="82"/>
  <c r="I39" i="84"/>
  <c r="I39" i="85"/>
  <c r="H39" i="86"/>
  <c r="I39" i="86"/>
  <c r="B7" i="85"/>
  <c r="R7" i="85" s="1"/>
  <c r="W12" i="85"/>
  <c r="B26" i="85"/>
  <c r="R26" i="85" s="1"/>
  <c r="B31" i="85"/>
  <c r="R31" i="85" s="1"/>
  <c r="H39" i="85"/>
  <c r="B13" i="85"/>
  <c r="R13" i="85" s="1"/>
  <c r="B17" i="85"/>
  <c r="B71" i="85" s="1"/>
  <c r="B21" i="85"/>
  <c r="B48" i="85" s="1"/>
  <c r="B25" i="85"/>
  <c r="R25" i="85" s="1"/>
  <c r="B30" i="85"/>
  <c r="R30" i="85" s="1"/>
  <c r="B36" i="85"/>
  <c r="B87" i="85" s="1"/>
  <c r="B5" i="86"/>
  <c r="R5" i="86" s="1"/>
  <c r="B7" i="86"/>
  <c r="R7" i="86" s="1"/>
  <c r="B11" i="86"/>
  <c r="R11" i="86" s="1"/>
  <c r="B13" i="86"/>
  <c r="B18" i="86"/>
  <c r="B21" i="86"/>
  <c r="B27" i="86"/>
  <c r="B30" i="86"/>
  <c r="AC8" i="17"/>
  <c r="B4" i="17"/>
  <c r="V8" i="17"/>
  <c r="V8" i="19" s="1"/>
  <c r="S8" i="17"/>
  <c r="S8" i="19" s="1"/>
  <c r="O8" i="17"/>
  <c r="O8" i="19" s="1"/>
  <c r="AN8" i="16"/>
  <c r="AN8" i="18" s="1"/>
  <c r="AH8" i="16"/>
  <c r="AH8" i="18" s="1"/>
  <c r="X8" i="16"/>
  <c r="X8" i="18" s="1"/>
  <c r="R8" i="16"/>
  <c r="R8" i="18" s="1"/>
  <c r="H8" i="16"/>
  <c r="H8" i="18" s="1"/>
  <c r="C7" i="16"/>
  <c r="C7" i="19" s="1"/>
  <c r="C7" i="18" s="1"/>
  <c r="C7" i="20" s="1"/>
  <c r="B35" i="21"/>
  <c r="B22" i="21"/>
  <c r="B20" i="21"/>
  <c r="G7" i="20"/>
  <c r="Q8" i="20"/>
  <c r="T40" i="86"/>
  <c r="S48" i="86"/>
  <c r="S48" i="87" s="1"/>
  <c r="K80" i="76"/>
  <c r="L80" i="76"/>
  <c r="L76" i="76"/>
  <c r="K76" i="76"/>
  <c r="L55" i="76"/>
  <c r="K86" i="76"/>
  <c r="L86" i="76"/>
  <c r="J83" i="76"/>
  <c r="K82" i="76"/>
  <c r="L82" i="76"/>
  <c r="M75" i="76"/>
  <c r="Z18" i="16" s="1"/>
  <c r="N75" i="76"/>
  <c r="AA18" i="16" s="1"/>
  <c r="J72" i="76"/>
  <c r="K72" i="76"/>
  <c r="L70" i="76"/>
  <c r="K70" i="76"/>
  <c r="W27" i="76"/>
  <c r="B57" i="76"/>
  <c r="B61" i="76"/>
  <c r="B63" i="76"/>
  <c r="L67" i="76"/>
  <c r="N67" i="76" s="1"/>
  <c r="AA10" i="16" s="1"/>
  <c r="L87" i="76"/>
  <c r="M77" i="76"/>
  <c r="Z20" i="16" s="1"/>
  <c r="N77" i="76"/>
  <c r="AA20" i="16" s="1"/>
  <c r="J68" i="76"/>
  <c r="K68" i="76"/>
  <c r="U33" i="76"/>
  <c r="W33" i="76" s="1"/>
  <c r="W35" i="76"/>
  <c r="K84" i="76"/>
  <c r="L84" i="76"/>
  <c r="M81" i="76"/>
  <c r="Z24" i="16" s="1"/>
  <c r="J71" i="76"/>
  <c r="L71" i="76"/>
  <c r="K74" i="76"/>
  <c r="F64" i="76"/>
  <c r="E19" i="67" s="1"/>
  <c r="E64" i="76"/>
  <c r="D19" i="67" s="1"/>
  <c r="R15" i="70"/>
  <c r="R17" i="70"/>
  <c r="B42" i="70"/>
  <c r="B44" i="70"/>
  <c r="R14" i="68"/>
  <c r="R35" i="68"/>
  <c r="B56" i="68"/>
  <c r="B59" i="68"/>
  <c r="B62" i="68"/>
  <c r="R13" i="70"/>
  <c r="R34" i="70"/>
  <c r="R36" i="70"/>
  <c r="B40" i="70"/>
  <c r="R14" i="72"/>
  <c r="R35" i="72"/>
  <c r="B56" i="72"/>
  <c r="B59" i="72"/>
  <c r="B62" i="72"/>
  <c r="R24" i="79"/>
  <c r="B78" i="81"/>
  <c r="B51" i="81"/>
  <c r="R24" i="81"/>
  <c r="B82" i="81"/>
  <c r="B56" i="81"/>
  <c r="R29" i="81"/>
  <c r="B86" i="81"/>
  <c r="B62" i="81"/>
  <c r="R35" i="81"/>
  <c r="B69" i="83"/>
  <c r="B42" i="83"/>
  <c r="B73" i="83"/>
  <c r="B46" i="83"/>
  <c r="B77" i="83"/>
  <c r="B50" i="83"/>
  <c r="B81" i="83"/>
  <c r="R28" i="83"/>
  <c r="B55" i="83"/>
  <c r="B85" i="83"/>
  <c r="B61" i="83"/>
  <c r="R34" i="83"/>
  <c r="B68" i="75"/>
  <c r="R14" i="75"/>
  <c r="B84" i="75"/>
  <c r="R32" i="75"/>
  <c r="B59" i="75"/>
  <c r="B85" i="77"/>
  <c r="B61" i="77"/>
  <c r="R34" i="77"/>
  <c r="B70" i="79"/>
  <c r="R16" i="79"/>
  <c r="B74" i="79"/>
  <c r="R20" i="79"/>
  <c r="B82" i="79"/>
  <c r="R29" i="79"/>
  <c r="B56" i="79"/>
  <c r="R16" i="68"/>
  <c r="R20" i="68"/>
  <c r="R32" i="68"/>
  <c r="R13" i="69"/>
  <c r="R35" i="71"/>
  <c r="B59" i="71"/>
  <c r="R16" i="72"/>
  <c r="R20" i="72"/>
  <c r="R32" i="72"/>
  <c r="R13" i="73"/>
  <c r="R22" i="75"/>
  <c r="B70" i="75"/>
  <c r="R16" i="75"/>
  <c r="B74" i="75"/>
  <c r="R20" i="75"/>
  <c r="B82" i="75"/>
  <c r="R29" i="75"/>
  <c r="B56" i="75"/>
  <c r="B86" i="75"/>
  <c r="B62" i="75"/>
  <c r="R35" i="75"/>
  <c r="R15" i="77"/>
  <c r="R19" i="77"/>
  <c r="R23" i="77"/>
  <c r="B42" i="77"/>
  <c r="B46" i="77"/>
  <c r="B50" i="77"/>
  <c r="B67" i="77"/>
  <c r="B40" i="77"/>
  <c r="R13" i="77"/>
  <c r="B83" i="77"/>
  <c r="B57" i="77"/>
  <c r="R30" i="77"/>
  <c r="B87" i="77"/>
  <c r="B63" i="77"/>
  <c r="R36" i="77"/>
  <c r="B68" i="79"/>
  <c r="R14" i="79"/>
  <c r="B80" i="79"/>
  <c r="R27" i="79"/>
  <c r="B84" i="79"/>
  <c r="R32" i="79"/>
  <c r="B59" i="79"/>
  <c r="B72" i="81"/>
  <c r="B45" i="81"/>
  <c r="R18" i="81"/>
  <c r="B80" i="75"/>
  <c r="R27" i="75"/>
  <c r="B81" i="77"/>
  <c r="R28" i="77"/>
  <c r="B86" i="79"/>
  <c r="B62" i="79"/>
  <c r="R35" i="79"/>
  <c r="B67" i="81"/>
  <c r="B40" i="81"/>
  <c r="R13" i="81"/>
  <c r="R13" i="68"/>
  <c r="R27" i="68"/>
  <c r="R29" i="68"/>
  <c r="R28" i="70"/>
  <c r="R30" i="70"/>
  <c r="B57" i="70"/>
  <c r="B61" i="70"/>
  <c r="B63" i="70"/>
  <c r="R27" i="72"/>
  <c r="R29" i="72"/>
  <c r="R18" i="75"/>
  <c r="B43" i="79"/>
  <c r="B47" i="79"/>
  <c r="B51" i="79"/>
  <c r="B57" i="75"/>
  <c r="B61" i="75"/>
  <c r="B63" i="75"/>
  <c r="B67" i="75"/>
  <c r="R27" i="77"/>
  <c r="R29" i="77"/>
  <c r="B67" i="79"/>
  <c r="B52" i="85"/>
  <c r="B57" i="85"/>
  <c r="C7" i="17"/>
  <c r="C21" i="19"/>
  <c r="C21" i="18" s="1"/>
  <c r="C21" i="20" s="1"/>
  <c r="C21" i="17"/>
  <c r="C15" i="19"/>
  <c r="C15" i="18" s="1"/>
  <c r="C15" i="20" s="1"/>
  <c r="B67" i="83"/>
  <c r="B40" i="83"/>
  <c r="R13" i="83"/>
  <c r="B83" i="83"/>
  <c r="B57" i="83"/>
  <c r="R30" i="83"/>
  <c r="B87" i="83"/>
  <c r="B63" i="83"/>
  <c r="R36" i="83"/>
  <c r="R13" i="75"/>
  <c r="B69" i="85"/>
  <c r="R15" i="85"/>
  <c r="B73" i="85"/>
  <c r="B46" i="85"/>
  <c r="R19" i="85"/>
  <c r="B77" i="85"/>
  <c r="R23" i="85"/>
  <c r="B81" i="85"/>
  <c r="R28" i="85"/>
  <c r="B85" i="85"/>
  <c r="B61" i="85"/>
  <c r="R34" i="85"/>
  <c r="C27" i="19"/>
  <c r="C27" i="18" s="1"/>
  <c r="C27" i="20" s="1"/>
  <c r="C27" i="17"/>
  <c r="C25" i="19"/>
  <c r="C25" i="18" s="1"/>
  <c r="C25" i="20" s="1"/>
  <c r="C25" i="17"/>
  <c r="C11" i="19"/>
  <c r="C11" i="18" s="1"/>
  <c r="C11" i="20" s="1"/>
  <c r="C11" i="17"/>
  <c r="S54" i="84"/>
  <c r="S54" i="85"/>
  <c r="C7" i="67"/>
  <c r="F7" i="67"/>
  <c r="S44" i="86"/>
  <c r="S44" i="87" s="1"/>
  <c r="S46" i="86"/>
  <c r="S46" i="87" s="1"/>
  <c r="Y8" i="19"/>
  <c r="B13" i="21"/>
  <c r="M8" i="20"/>
  <c r="B4" i="20"/>
  <c r="D7" i="67"/>
  <c r="R2" i="86"/>
  <c r="S40" i="86"/>
  <c r="S40" i="87" s="1"/>
  <c r="T42" i="86"/>
  <c r="V52" i="86"/>
  <c r="V52" i="87" s="1"/>
  <c r="V53" i="86"/>
  <c r="V53" i="87" s="1"/>
  <c r="H8" i="17"/>
  <c r="H8" i="19" s="1"/>
  <c r="F8" i="17"/>
  <c r="F8" i="19" s="1"/>
  <c r="AA7" i="19"/>
  <c r="B4" i="19"/>
  <c r="AQ8" i="16"/>
  <c r="AQ8" i="18" s="1"/>
  <c r="AO8" i="16"/>
  <c r="AO8" i="18" s="1"/>
  <c r="AM8" i="16"/>
  <c r="AM8" i="18" s="1"/>
  <c r="AK8" i="16"/>
  <c r="AK8" i="18" s="1"/>
  <c r="AI8" i="16"/>
  <c r="AI8" i="18" s="1"/>
  <c r="AG8" i="16"/>
  <c r="AG8" i="18" s="1"/>
  <c r="AE8" i="16"/>
  <c r="AE8" i="18" s="1"/>
  <c r="AC8" i="16"/>
  <c r="AC8" i="18" s="1"/>
  <c r="AA8" i="16"/>
  <c r="AA8" i="18" s="1"/>
  <c r="Y8" i="16"/>
  <c r="Y8" i="18" s="1"/>
  <c r="W8" i="16"/>
  <c r="W8" i="18" s="1"/>
  <c r="U8" i="16"/>
  <c r="U8" i="18" s="1"/>
  <c r="S8" i="16"/>
  <c r="S8" i="18" s="1"/>
  <c r="Q8" i="16"/>
  <c r="Q8" i="18" s="1"/>
  <c r="O8" i="16"/>
  <c r="O8" i="18" s="1"/>
  <c r="M8" i="16"/>
  <c r="M8" i="18" s="1"/>
  <c r="K8" i="16"/>
  <c r="K8" i="18" s="1"/>
  <c r="I8" i="16"/>
  <c r="I8" i="18" s="1"/>
  <c r="G8" i="16"/>
  <c r="G8" i="18" s="1"/>
  <c r="E8" i="16"/>
  <c r="E8" i="18" s="1"/>
  <c r="AE8" i="17"/>
  <c r="AS8" i="18" s="1"/>
  <c r="B34" i="21"/>
  <c r="B30" i="21"/>
  <c r="B28" i="21"/>
  <c r="B25" i="21"/>
  <c r="B23" i="21"/>
  <c r="B21" i="21"/>
  <c r="B19" i="21"/>
  <c r="B17" i="21"/>
  <c r="B15" i="21"/>
  <c r="B36" i="21"/>
  <c r="D7" i="20"/>
  <c r="Q7" i="20"/>
  <c r="B40" i="44"/>
  <c r="B3" i="44"/>
  <c r="E7" i="67"/>
  <c r="B2" i="86"/>
  <c r="S49" i="86"/>
  <c r="S49" i="87" s="1"/>
  <c r="S51" i="86"/>
  <c r="S51" i="87" s="1"/>
  <c r="S56" i="86"/>
  <c r="S56" i="87" s="1"/>
  <c r="C4" i="67"/>
  <c r="S48" i="84" l="1"/>
  <c r="M87" i="86"/>
  <c r="D30" i="16" s="1"/>
  <c r="M86" i="86"/>
  <c r="D29" i="16" s="1"/>
  <c r="D29" i="18" s="1"/>
  <c r="N76" i="86"/>
  <c r="E19" i="16" s="1"/>
  <c r="E19" i="18" s="1"/>
  <c r="M77" i="86"/>
  <c r="D20" i="16" s="1"/>
  <c r="D20" i="18" s="1"/>
  <c r="M71" i="86"/>
  <c r="D14" i="16" s="1"/>
  <c r="D14" i="18" s="1"/>
  <c r="N77" i="86"/>
  <c r="E20" i="16" s="1"/>
  <c r="E20" i="18" s="1"/>
  <c r="M76" i="86"/>
  <c r="D19" i="16" s="1"/>
  <c r="D19" i="18" s="1"/>
  <c r="AD12" i="18"/>
  <c r="Q12" i="17"/>
  <c r="Q12" i="19" s="1"/>
  <c r="P26" i="18"/>
  <c r="J26" i="17"/>
  <c r="J26" i="19" s="1"/>
  <c r="N86" i="68"/>
  <c r="AK29" i="16" s="1"/>
  <c r="AK29" i="18" s="1"/>
  <c r="N83" i="71"/>
  <c r="AI26" i="16" s="1"/>
  <c r="AI26" i="18" s="1"/>
  <c r="N86" i="78"/>
  <c r="U29" i="16" s="1"/>
  <c r="U29" i="18" s="1"/>
  <c r="N67" i="82"/>
  <c r="K10" i="16" s="1"/>
  <c r="K10" i="18" s="1"/>
  <c r="N67" i="73"/>
  <c r="AE10" i="16" s="1"/>
  <c r="AE10" i="18" s="1"/>
  <c r="M69" i="82"/>
  <c r="J12" i="16" s="1"/>
  <c r="M69" i="86"/>
  <c r="D12" i="16" s="1"/>
  <c r="D12" i="18" s="1"/>
  <c r="G11" i="17"/>
  <c r="G11" i="19" s="1"/>
  <c r="M82" i="82"/>
  <c r="J25" i="16" s="1"/>
  <c r="J25" i="18" s="1"/>
  <c r="Q18" i="17"/>
  <c r="Q18" i="19" s="1"/>
  <c r="M85" i="68"/>
  <c r="AJ28" i="16" s="1"/>
  <c r="AJ28" i="18" s="1"/>
  <c r="N87" i="70"/>
  <c r="AM30" i="16" s="1"/>
  <c r="AM30" i="18" s="1"/>
  <c r="M70" i="79"/>
  <c r="L13" i="16" s="1"/>
  <c r="N71" i="70"/>
  <c r="AM14" i="16" s="1"/>
  <c r="AM14" i="18" s="1"/>
  <c r="M82" i="73"/>
  <c r="AD25" i="16" s="1"/>
  <c r="M87" i="83"/>
  <c r="N30" i="16" s="1"/>
  <c r="N71" i="75"/>
  <c r="Y14" i="16" s="1"/>
  <c r="Y14" i="18" s="1"/>
  <c r="M72" i="77"/>
  <c r="V15" i="16" s="1"/>
  <c r="M82" i="72"/>
  <c r="AF25" i="16" s="1"/>
  <c r="N86" i="70"/>
  <c r="AM29" i="16" s="1"/>
  <c r="AM29" i="18" s="1"/>
  <c r="N70" i="72"/>
  <c r="AG13" i="16" s="1"/>
  <c r="AG13" i="18" s="1"/>
  <c r="M74" i="75"/>
  <c r="X17" i="16" s="1"/>
  <c r="N80" i="86"/>
  <c r="E23" i="16" s="1"/>
  <c r="E23" i="18" s="1"/>
  <c r="M70" i="82"/>
  <c r="J13" i="16" s="1"/>
  <c r="N82" i="79"/>
  <c r="M25" i="16" s="1"/>
  <c r="M25" i="18" s="1"/>
  <c r="M78" i="76"/>
  <c r="Z21" i="16" s="1"/>
  <c r="M77" i="68"/>
  <c r="AJ20" i="16" s="1"/>
  <c r="N75" i="71"/>
  <c r="AI18" i="16" s="1"/>
  <c r="AI18" i="18" s="1"/>
  <c r="M73" i="68"/>
  <c r="AJ16" i="16" s="1"/>
  <c r="AJ16" i="18" s="1"/>
  <c r="M87" i="82"/>
  <c r="J30" i="16" s="1"/>
  <c r="J30" i="18" s="1"/>
  <c r="N84" i="82"/>
  <c r="K27" i="16" s="1"/>
  <c r="K27" i="18" s="1"/>
  <c r="M68" i="81"/>
  <c r="P11" i="16" s="1"/>
  <c r="M78" i="75"/>
  <c r="X21" i="16" s="1"/>
  <c r="M79" i="72"/>
  <c r="AF22" i="16" s="1"/>
  <c r="O16" i="17"/>
  <c r="O16" i="19" s="1"/>
  <c r="N77" i="77"/>
  <c r="W20" i="16" s="1"/>
  <c r="W20" i="18" s="1"/>
  <c r="N80" i="78"/>
  <c r="U23" i="16" s="1"/>
  <c r="U23" i="18" s="1"/>
  <c r="M87" i="72"/>
  <c r="AF30" i="16" s="1"/>
  <c r="M87" i="71"/>
  <c r="AH30" i="16" s="1"/>
  <c r="N82" i="80"/>
  <c r="S25" i="16" s="1"/>
  <c r="N84" i="72"/>
  <c r="AG27" i="16" s="1"/>
  <c r="AG27" i="18" s="1"/>
  <c r="M76" i="68"/>
  <c r="AJ19" i="16" s="1"/>
  <c r="N77" i="78"/>
  <c r="U20" i="16" s="1"/>
  <c r="U20" i="18" s="1"/>
  <c r="M74" i="86"/>
  <c r="D17" i="16" s="1"/>
  <c r="D17" i="18" s="1"/>
  <c r="M69" i="83"/>
  <c r="N12" i="16" s="1"/>
  <c r="M75" i="81"/>
  <c r="P18" i="16" s="1"/>
  <c r="M85" i="74"/>
  <c r="AB28" i="16" s="1"/>
  <c r="M86" i="81"/>
  <c r="P29" i="16" s="1"/>
  <c r="P29" i="18" s="1"/>
  <c r="H22" i="17"/>
  <c r="H22" i="19" s="1"/>
  <c r="N69" i="80"/>
  <c r="S12" i="16" s="1"/>
  <c r="S12" i="18" s="1"/>
  <c r="M86" i="75"/>
  <c r="X29" i="16" s="1"/>
  <c r="N74" i="74"/>
  <c r="AC17" i="16" s="1"/>
  <c r="AC17" i="18" s="1"/>
  <c r="M26" i="17"/>
  <c r="M26" i="19" s="1"/>
  <c r="M83" i="86"/>
  <c r="D26" i="16" s="1"/>
  <c r="D26" i="18" s="1"/>
  <c r="N67" i="84"/>
  <c r="I10" i="16" s="1"/>
  <c r="I10" i="18" s="1"/>
  <c r="N81" i="76"/>
  <c r="AA24" i="16" s="1"/>
  <c r="AA24" i="18" s="1"/>
  <c r="M72" i="68"/>
  <c r="AJ15" i="16" s="1"/>
  <c r="M75" i="71"/>
  <c r="AH18" i="16" s="1"/>
  <c r="N79" i="21"/>
  <c r="AQ22" i="16" s="1"/>
  <c r="AQ22" i="18" s="1"/>
  <c r="M78" i="80"/>
  <c r="R21" i="16" s="1"/>
  <c r="M72" i="72"/>
  <c r="AF15" i="16" s="1"/>
  <c r="M70" i="76"/>
  <c r="Z13" i="16" s="1"/>
  <c r="M67" i="76"/>
  <c r="Z10" i="16" s="1"/>
  <c r="M81" i="74"/>
  <c r="AB24" i="16" s="1"/>
  <c r="M69" i="77"/>
  <c r="V12" i="16" s="1"/>
  <c r="N75" i="86"/>
  <c r="E18" i="16" s="1"/>
  <c r="E18" i="18" s="1"/>
  <c r="N87" i="79"/>
  <c r="M30" i="16" s="1"/>
  <c r="M30" i="18" s="1"/>
  <c r="M79" i="83"/>
  <c r="N22" i="16" s="1"/>
  <c r="M80" i="81"/>
  <c r="P23" i="16" s="1"/>
  <c r="P23" i="18" s="1"/>
  <c r="M71" i="78"/>
  <c r="T14" i="16" s="1"/>
  <c r="N72" i="73"/>
  <c r="AE15" i="16" s="1"/>
  <c r="AE15" i="18" s="1"/>
  <c r="N74" i="72"/>
  <c r="AG17" i="16" s="1"/>
  <c r="AG17" i="18" s="1"/>
  <c r="R13" i="17"/>
  <c r="R13" i="19" s="1"/>
  <c r="M83" i="71"/>
  <c r="AH26" i="16" s="1"/>
  <c r="AH26" i="18" s="1"/>
  <c r="V21" i="17"/>
  <c r="V21" i="19" s="1"/>
  <c r="M70" i="70"/>
  <c r="AL13" i="16" s="1"/>
  <c r="M83" i="70"/>
  <c r="AL26" i="16" s="1"/>
  <c r="N85" i="21"/>
  <c r="AQ28" i="16" s="1"/>
  <c r="AQ28" i="18" s="1"/>
  <c r="M77" i="72"/>
  <c r="AF20" i="16" s="1"/>
  <c r="AF20" i="18" s="1"/>
  <c r="N81" i="71"/>
  <c r="AI24" i="16" s="1"/>
  <c r="AI24" i="18" s="1"/>
  <c r="N75" i="78"/>
  <c r="U18" i="16" s="1"/>
  <c r="U18" i="18" s="1"/>
  <c r="N77" i="84"/>
  <c r="I20" i="16" s="1"/>
  <c r="I20" i="18" s="1"/>
  <c r="M81" i="79"/>
  <c r="L24" i="16" s="1"/>
  <c r="L24" i="18" s="1"/>
  <c r="M70" i="69"/>
  <c r="AN13" i="16" s="1"/>
  <c r="M85" i="78"/>
  <c r="T28" i="16" s="1"/>
  <c r="N71" i="69"/>
  <c r="AO14" i="16" s="1"/>
  <c r="AO14" i="18" s="1"/>
  <c r="N79" i="77"/>
  <c r="W22" i="16" s="1"/>
  <c r="W22" i="18" s="1"/>
  <c r="N69" i="76"/>
  <c r="AA12" i="16" s="1"/>
  <c r="AA12" i="18" s="1"/>
  <c r="M69" i="74"/>
  <c r="AB12" i="16" s="1"/>
  <c r="N87" i="80"/>
  <c r="S30" i="16" s="1"/>
  <c r="S30" i="18" s="1"/>
  <c r="M79" i="75"/>
  <c r="X22" i="16" s="1"/>
  <c r="N75" i="72"/>
  <c r="AG18" i="16" s="1"/>
  <c r="AG18" i="18" s="1"/>
  <c r="N87" i="68"/>
  <c r="AK30" i="16" s="1"/>
  <c r="AK30" i="18" s="1"/>
  <c r="M69" i="69"/>
  <c r="AN12" i="16" s="1"/>
  <c r="M72" i="82"/>
  <c r="J15" i="16" s="1"/>
  <c r="N71" i="79"/>
  <c r="M14" i="16" s="1"/>
  <c r="M14" i="18" s="1"/>
  <c r="N83" i="79"/>
  <c r="M26" i="16" s="1"/>
  <c r="M26" i="18" s="1"/>
  <c r="M68" i="70"/>
  <c r="AL11" i="16" s="1"/>
  <c r="AL11" i="18" s="1"/>
  <c r="M84" i="86"/>
  <c r="D27" i="16" s="1"/>
  <c r="D27" i="18" s="1"/>
  <c r="M86" i="73"/>
  <c r="AD29" i="16" s="1"/>
  <c r="N67" i="79"/>
  <c r="M10" i="16" s="1"/>
  <c r="M10" i="18" s="1"/>
  <c r="N71" i="81"/>
  <c r="Q14" i="16" s="1"/>
  <c r="Q14" i="18" s="1"/>
  <c r="B79" i="85"/>
  <c r="M82" i="85"/>
  <c r="F25" i="16" s="1"/>
  <c r="F25" i="18" s="1"/>
  <c r="B40" i="85"/>
  <c r="B75" i="85"/>
  <c r="B44" i="85"/>
  <c r="M77" i="85"/>
  <c r="F20" i="16" s="1"/>
  <c r="F20" i="18" s="1"/>
  <c r="N85" i="85"/>
  <c r="G28" i="16" s="1"/>
  <c r="G28" i="18" s="1"/>
  <c r="M68" i="85"/>
  <c r="F11" i="16" s="1"/>
  <c r="F11" i="18" s="1"/>
  <c r="M87" i="85"/>
  <c r="F30" i="16" s="1"/>
  <c r="F30" i="18" s="1"/>
  <c r="N87" i="85"/>
  <c r="G30" i="16" s="1"/>
  <c r="G30" i="18" s="1"/>
  <c r="M81" i="85"/>
  <c r="F24" i="16" s="1"/>
  <c r="F24" i="18" s="1"/>
  <c r="N79" i="85"/>
  <c r="G22" i="16" s="1"/>
  <c r="G22" i="18" s="1"/>
  <c r="N78" i="85"/>
  <c r="G21" i="16" s="1"/>
  <c r="G21" i="18" s="1"/>
  <c r="N71" i="85"/>
  <c r="G14" i="16" s="1"/>
  <c r="G14" i="18" s="1"/>
  <c r="M86" i="85"/>
  <c r="F29" i="16" s="1"/>
  <c r="F29" i="18" s="1"/>
  <c r="M76" i="85"/>
  <c r="F19" i="16" s="1"/>
  <c r="F19" i="18" s="1"/>
  <c r="M79" i="85"/>
  <c r="F22" i="16" s="1"/>
  <c r="N67" i="85"/>
  <c r="G10" i="16" s="1"/>
  <c r="G10" i="18" s="1"/>
  <c r="K11" i="17"/>
  <c r="K11" i="19" s="1"/>
  <c r="R11" i="18"/>
  <c r="N69" i="70"/>
  <c r="AM12" i="16" s="1"/>
  <c r="AM12" i="18" s="1"/>
  <c r="M69" i="70"/>
  <c r="AL12" i="16" s="1"/>
  <c r="M76" i="80"/>
  <c r="R19" i="16" s="1"/>
  <c r="N76" i="80"/>
  <c r="S19" i="16" s="1"/>
  <c r="S19" i="18" s="1"/>
  <c r="N84" i="78"/>
  <c r="U27" i="16" s="1"/>
  <c r="U27" i="18" s="1"/>
  <c r="M84" i="78"/>
  <c r="T27" i="16" s="1"/>
  <c r="R23" i="18"/>
  <c r="K23" i="17"/>
  <c r="K23" i="19" s="1"/>
  <c r="S25" i="18"/>
  <c r="K25" i="17"/>
  <c r="K25" i="19" s="1"/>
  <c r="N76" i="73"/>
  <c r="AE19" i="16" s="1"/>
  <c r="AE19" i="18" s="1"/>
  <c r="M76" i="73"/>
  <c r="AD19" i="16" s="1"/>
  <c r="M78" i="83"/>
  <c r="N21" i="16" s="1"/>
  <c r="N21" i="18" s="1"/>
  <c r="N78" i="83"/>
  <c r="O21" i="16" s="1"/>
  <c r="O21" i="18" s="1"/>
  <c r="N75" i="82"/>
  <c r="K18" i="16" s="1"/>
  <c r="K18" i="18" s="1"/>
  <c r="M70" i="68"/>
  <c r="AJ13" i="16" s="1"/>
  <c r="AF25" i="18"/>
  <c r="M80" i="69"/>
  <c r="AN23" i="16" s="1"/>
  <c r="N80" i="69"/>
  <c r="AO23" i="16" s="1"/>
  <c r="AO23" i="18" s="1"/>
  <c r="N85" i="86"/>
  <c r="E28" i="16" s="1"/>
  <c r="E28" i="18" s="1"/>
  <c r="M85" i="86"/>
  <c r="D28" i="16" s="1"/>
  <c r="D28" i="18" s="1"/>
  <c r="AN13" i="18"/>
  <c r="N85" i="76"/>
  <c r="AA28" i="16" s="1"/>
  <c r="AA28" i="18" s="1"/>
  <c r="M85" i="76"/>
  <c r="Z28" i="16" s="1"/>
  <c r="M80" i="74"/>
  <c r="AB23" i="16" s="1"/>
  <c r="N78" i="21"/>
  <c r="AQ21" i="16" s="1"/>
  <c r="AQ21" i="18" s="1"/>
  <c r="M78" i="21"/>
  <c r="AP21" i="16" s="1"/>
  <c r="AP21" i="18" s="1"/>
  <c r="M77" i="69"/>
  <c r="AN20" i="16" s="1"/>
  <c r="AN20" i="18" s="1"/>
  <c r="N77" i="69"/>
  <c r="AO20" i="16" s="1"/>
  <c r="AO20" i="18" s="1"/>
  <c r="Z22" i="18"/>
  <c r="M70" i="83"/>
  <c r="N13" i="16" s="1"/>
  <c r="N13" i="18" s="1"/>
  <c r="N70" i="83"/>
  <c r="O13" i="16" s="1"/>
  <c r="O13" i="18" s="1"/>
  <c r="Q29" i="18"/>
  <c r="J29" i="17"/>
  <c r="J29" i="19" s="1"/>
  <c r="N84" i="75"/>
  <c r="Y27" i="16" s="1"/>
  <c r="Y27" i="18" s="1"/>
  <c r="M84" i="75"/>
  <c r="X27" i="16" s="1"/>
  <c r="Z16" i="18"/>
  <c r="M68" i="71"/>
  <c r="AH11" i="16" s="1"/>
  <c r="AH11" i="18" s="1"/>
  <c r="N68" i="71"/>
  <c r="AI11" i="16" s="1"/>
  <c r="AI11" i="18" s="1"/>
  <c r="N71" i="83"/>
  <c r="O14" i="16" s="1"/>
  <c r="O14" i="18" s="1"/>
  <c r="M71" i="83"/>
  <c r="N14" i="16" s="1"/>
  <c r="N14" i="18" s="1"/>
  <c r="N78" i="70"/>
  <c r="AM21" i="16" s="1"/>
  <c r="AM21" i="18" s="1"/>
  <c r="M78" i="70"/>
  <c r="AL21" i="16" s="1"/>
  <c r="N12" i="18"/>
  <c r="I12" i="17"/>
  <c r="I12" i="19" s="1"/>
  <c r="X22" i="18"/>
  <c r="N22" i="17"/>
  <c r="N22" i="19" s="1"/>
  <c r="N73" i="72"/>
  <c r="AG16" i="16" s="1"/>
  <c r="AG16" i="18" s="1"/>
  <c r="M73" i="72"/>
  <c r="AF16" i="16" s="1"/>
  <c r="AF16" i="18" s="1"/>
  <c r="M67" i="79"/>
  <c r="L10" i="16" s="1"/>
  <c r="M71" i="80"/>
  <c r="R14" i="16" s="1"/>
  <c r="N71" i="80"/>
  <c r="S14" i="16" s="1"/>
  <c r="S14" i="18" s="1"/>
  <c r="N72" i="71"/>
  <c r="AI15" i="16" s="1"/>
  <c r="AI15" i="18" s="1"/>
  <c r="M72" i="71"/>
  <c r="AH15" i="16" s="1"/>
  <c r="N85" i="83"/>
  <c r="O28" i="16" s="1"/>
  <c r="O28" i="18" s="1"/>
  <c r="N75" i="74"/>
  <c r="AC18" i="16" s="1"/>
  <c r="AC18" i="18" s="1"/>
  <c r="M75" i="74"/>
  <c r="AB18" i="16" s="1"/>
  <c r="AD21" i="18"/>
  <c r="Q21" i="17"/>
  <c r="Q21" i="19" s="1"/>
  <c r="AF15" i="18"/>
  <c r="R15" i="17"/>
  <c r="R15" i="19" s="1"/>
  <c r="N87" i="82"/>
  <c r="K30" i="16" s="1"/>
  <c r="B71" i="87"/>
  <c r="R17" i="87"/>
  <c r="B44" i="87"/>
  <c r="R20" i="87"/>
  <c r="B74" i="87"/>
  <c r="B47" i="87"/>
  <c r="M79" i="77"/>
  <c r="V22" i="16" s="1"/>
  <c r="N87" i="76"/>
  <c r="AA30" i="16" s="1"/>
  <c r="N86" i="83"/>
  <c r="O29" i="16" s="1"/>
  <c r="O29" i="18" s="1"/>
  <c r="M69" i="81"/>
  <c r="P12" i="16" s="1"/>
  <c r="K26" i="17"/>
  <c r="K26" i="19" s="1"/>
  <c r="N67" i="75"/>
  <c r="Y10" i="16" s="1"/>
  <c r="Y10" i="18" s="1"/>
  <c r="N84" i="86"/>
  <c r="E27" i="16" s="1"/>
  <c r="E27" i="18" s="1"/>
  <c r="M75" i="84"/>
  <c r="H18" i="16" s="1"/>
  <c r="H18" i="18" s="1"/>
  <c r="N77" i="72"/>
  <c r="AG20" i="16" s="1"/>
  <c r="AG20" i="18" s="1"/>
  <c r="N68" i="78"/>
  <c r="U11" i="16" s="1"/>
  <c r="U11" i="18" s="1"/>
  <c r="M87" i="69"/>
  <c r="AN30" i="16" s="1"/>
  <c r="AN30" i="18" s="1"/>
  <c r="M67" i="85"/>
  <c r="F10" i="16" s="1"/>
  <c r="F10" i="18" s="1"/>
  <c r="R34" i="87"/>
  <c r="B85" i="87"/>
  <c r="B61" i="87"/>
  <c r="B46" i="87"/>
  <c r="R19" i="87"/>
  <c r="B73" i="87"/>
  <c r="N72" i="80"/>
  <c r="S15" i="16" s="1"/>
  <c r="S15" i="18" s="1"/>
  <c r="M72" i="80"/>
  <c r="R15" i="16" s="1"/>
  <c r="N83" i="75"/>
  <c r="Y26" i="16" s="1"/>
  <c r="Y26" i="18" s="1"/>
  <c r="M30" i="17"/>
  <c r="M30" i="19" s="1"/>
  <c r="M78" i="72"/>
  <c r="AF21" i="16" s="1"/>
  <c r="AF21" i="18" s="1"/>
  <c r="M85" i="70"/>
  <c r="AL28" i="16" s="1"/>
  <c r="N68" i="69"/>
  <c r="AO11" i="16" s="1"/>
  <c r="AO11" i="18" s="1"/>
  <c r="N68" i="86"/>
  <c r="E11" i="16" s="1"/>
  <c r="E11" i="18" s="1"/>
  <c r="B80" i="87"/>
  <c r="B54" i="87"/>
  <c r="R27" i="87"/>
  <c r="B67" i="87"/>
  <c r="R13" i="87"/>
  <c r="B40" i="87"/>
  <c r="N80" i="74"/>
  <c r="AC23" i="16" s="1"/>
  <c r="AC23" i="18" s="1"/>
  <c r="N81" i="77"/>
  <c r="W24" i="16" s="1"/>
  <c r="W24" i="18" s="1"/>
  <c r="M81" i="77"/>
  <c r="V24" i="16" s="1"/>
  <c r="N80" i="75"/>
  <c r="Y23" i="16" s="1"/>
  <c r="Y23" i="18" s="1"/>
  <c r="M80" i="75"/>
  <c r="X23" i="16" s="1"/>
  <c r="N72" i="83"/>
  <c r="O15" i="16" s="1"/>
  <c r="O15" i="18" s="1"/>
  <c r="J13" i="17"/>
  <c r="J13" i="19" s="1"/>
  <c r="N70" i="78"/>
  <c r="U13" i="16" s="1"/>
  <c r="U13" i="18" s="1"/>
  <c r="M87" i="74"/>
  <c r="AB30" i="16" s="1"/>
  <c r="AB30" i="18" s="1"/>
  <c r="M85" i="73"/>
  <c r="AD28" i="16" s="1"/>
  <c r="N81" i="84"/>
  <c r="I24" i="16" s="1"/>
  <c r="I24" i="18" s="1"/>
  <c r="M76" i="83"/>
  <c r="N19" i="16" s="1"/>
  <c r="N19" i="18" s="1"/>
  <c r="N70" i="71"/>
  <c r="AI13" i="16" s="1"/>
  <c r="AI13" i="18" s="1"/>
  <c r="N73" i="68"/>
  <c r="AK16" i="16" s="1"/>
  <c r="AK16" i="18" s="1"/>
  <c r="N70" i="68"/>
  <c r="AK13" i="16" s="1"/>
  <c r="AK13" i="18" s="1"/>
  <c r="N73" i="69"/>
  <c r="AO16" i="16" s="1"/>
  <c r="AO16" i="18" s="1"/>
  <c r="N76" i="21"/>
  <c r="AQ19" i="16" s="1"/>
  <c r="AQ19" i="18" s="1"/>
  <c r="M73" i="70"/>
  <c r="AL16" i="16" s="1"/>
  <c r="M72" i="21"/>
  <c r="AP15" i="16" s="1"/>
  <c r="N85" i="78"/>
  <c r="U28" i="16" s="1"/>
  <c r="U28" i="18" s="1"/>
  <c r="B75" i="87"/>
  <c r="R21" i="87"/>
  <c r="B48" i="87"/>
  <c r="B50" i="87"/>
  <c r="R23" i="87"/>
  <c r="B77" i="87"/>
  <c r="B78" i="87"/>
  <c r="B51" i="87"/>
  <c r="R24" i="87"/>
  <c r="N79" i="69"/>
  <c r="AO22" i="16" s="1"/>
  <c r="AO22" i="18" s="1"/>
  <c r="N77" i="21"/>
  <c r="AQ20" i="16" s="1"/>
  <c r="AQ20" i="18" s="1"/>
  <c r="N74" i="70"/>
  <c r="AM17" i="16" s="1"/>
  <c r="AM17" i="18" s="1"/>
  <c r="N84" i="68"/>
  <c r="AK27" i="16" s="1"/>
  <c r="AK27" i="18" s="1"/>
  <c r="M72" i="70"/>
  <c r="AL15" i="16" s="1"/>
  <c r="AL15" i="18" s="1"/>
  <c r="N70" i="69"/>
  <c r="AO13" i="16" s="1"/>
  <c r="AO13" i="18" s="1"/>
  <c r="N71" i="84"/>
  <c r="I14" i="16" s="1"/>
  <c r="I14" i="18" s="1"/>
  <c r="N74" i="79"/>
  <c r="M17" i="16" s="1"/>
  <c r="M17" i="18" s="1"/>
  <c r="M75" i="83"/>
  <c r="N18" i="16" s="1"/>
  <c r="I18" i="17" s="1"/>
  <c r="I18" i="19" s="1"/>
  <c r="R29" i="87"/>
  <c r="B56" i="87"/>
  <c r="B82" i="87"/>
  <c r="B87" i="87"/>
  <c r="B63" i="87"/>
  <c r="R36" i="87"/>
  <c r="R14" i="87"/>
  <c r="B41" i="87"/>
  <c r="B68" i="87"/>
  <c r="M85" i="80"/>
  <c r="R28" i="16" s="1"/>
  <c r="R28" i="18" s="1"/>
  <c r="M74" i="73"/>
  <c r="AD17" i="16" s="1"/>
  <c r="AD17" i="18" s="1"/>
  <c r="N84" i="77"/>
  <c r="W27" i="16" s="1"/>
  <c r="W27" i="18" s="1"/>
  <c r="N69" i="82"/>
  <c r="K12" i="16" s="1"/>
  <c r="K12" i="18" s="1"/>
  <c r="M71" i="71"/>
  <c r="AH14" i="16" s="1"/>
  <c r="M84" i="81"/>
  <c r="P27" i="16" s="1"/>
  <c r="N86" i="73"/>
  <c r="AE29" i="16" s="1"/>
  <c r="AE29" i="18" s="1"/>
  <c r="N74" i="81"/>
  <c r="Q17" i="16" s="1"/>
  <c r="Q17" i="18" s="1"/>
  <c r="M80" i="85"/>
  <c r="F23" i="16" s="1"/>
  <c r="E23" i="17" s="1"/>
  <c r="E23" i="19" s="1"/>
  <c r="M67" i="82"/>
  <c r="J10" i="16" s="1"/>
  <c r="G10" i="17" s="1"/>
  <c r="G10" i="19" s="1"/>
  <c r="N67" i="83"/>
  <c r="O10" i="16" s="1"/>
  <c r="O10" i="18" s="1"/>
  <c r="K29" i="17"/>
  <c r="K29" i="19" s="1"/>
  <c r="N71" i="78"/>
  <c r="U14" i="16" s="1"/>
  <c r="U14" i="18" s="1"/>
  <c r="M71" i="75"/>
  <c r="X14" i="16" s="1"/>
  <c r="N14" i="17" s="1"/>
  <c r="N14" i="19" s="1"/>
  <c r="M84" i="77"/>
  <c r="V27" i="16" s="1"/>
  <c r="V27" i="18" s="1"/>
  <c r="N72" i="82"/>
  <c r="K15" i="16" s="1"/>
  <c r="K15" i="18" s="1"/>
  <c r="M68" i="83"/>
  <c r="N11" i="16" s="1"/>
  <c r="N11" i="18" s="1"/>
  <c r="N78" i="78"/>
  <c r="U21" i="16" s="1"/>
  <c r="U21" i="18" s="1"/>
  <c r="N82" i="73"/>
  <c r="AE25" i="16" s="1"/>
  <c r="AE25" i="18" s="1"/>
  <c r="M73" i="71"/>
  <c r="AH16" i="16" s="1"/>
  <c r="N82" i="72"/>
  <c r="AG25" i="16" s="1"/>
  <c r="AG25" i="18" s="1"/>
  <c r="N68" i="70"/>
  <c r="AM11" i="16" s="1"/>
  <c r="AM11" i="18" s="1"/>
  <c r="M83" i="78"/>
  <c r="T26" i="16" s="1"/>
  <c r="T26" i="18" s="1"/>
  <c r="M84" i="84"/>
  <c r="H27" i="16" s="1"/>
  <c r="H27" i="18" s="1"/>
  <c r="B43" i="87"/>
  <c r="B70" i="87"/>
  <c r="R16" i="87"/>
  <c r="B76" i="87"/>
  <c r="R22" i="87"/>
  <c r="B49" i="87"/>
  <c r="M71" i="68"/>
  <c r="AJ14" i="16" s="1"/>
  <c r="N78" i="68"/>
  <c r="AK21" i="16" s="1"/>
  <c r="AK21" i="18" s="1"/>
  <c r="N68" i="21"/>
  <c r="AQ11" i="16" s="1"/>
  <c r="AQ11" i="18" s="1"/>
  <c r="M77" i="70"/>
  <c r="AL20" i="16" s="1"/>
  <c r="U20" i="17" s="1"/>
  <c r="U20" i="19" s="1"/>
  <c r="N75" i="70"/>
  <c r="AM18" i="16" s="1"/>
  <c r="AM18" i="18" s="1"/>
  <c r="M81" i="86"/>
  <c r="D24" i="16" s="1"/>
  <c r="D24" i="18" s="1"/>
  <c r="N78" i="79"/>
  <c r="M21" i="16" s="1"/>
  <c r="M21" i="18" s="1"/>
  <c r="B79" i="87"/>
  <c r="B52" i="87"/>
  <c r="R25" i="87"/>
  <c r="B83" i="87"/>
  <c r="B57" i="87"/>
  <c r="R30" i="87"/>
  <c r="B42" i="87"/>
  <c r="R15" i="87"/>
  <c r="B69" i="87"/>
  <c r="N78" i="77"/>
  <c r="W21" i="16" s="1"/>
  <c r="W21" i="18" s="1"/>
  <c r="M82" i="84"/>
  <c r="H25" i="16" s="1"/>
  <c r="N67" i="81"/>
  <c r="Q10" i="16" s="1"/>
  <c r="Q10" i="18" s="1"/>
  <c r="M83" i="72"/>
  <c r="AF26" i="16" s="1"/>
  <c r="N85" i="71"/>
  <c r="AI28" i="16" s="1"/>
  <c r="AI28" i="18" s="1"/>
  <c r="N78" i="84"/>
  <c r="I21" i="16" s="1"/>
  <c r="I21" i="18" s="1"/>
  <c r="B59" i="87"/>
  <c r="R32" i="87"/>
  <c r="B84" i="87"/>
  <c r="N78" i="76"/>
  <c r="AA21" i="16" s="1"/>
  <c r="N87" i="86"/>
  <c r="E30" i="16" s="1"/>
  <c r="E30" i="18" s="1"/>
  <c r="N24" i="17"/>
  <c r="N24" i="19" s="1"/>
  <c r="P19" i="17"/>
  <c r="P19" i="19" s="1"/>
  <c r="M79" i="73"/>
  <c r="AD22" i="16" s="1"/>
  <c r="M74" i="85"/>
  <c r="F17" i="16" s="1"/>
  <c r="M78" i="81"/>
  <c r="P21" i="16" s="1"/>
  <c r="N81" i="78"/>
  <c r="U24" i="16" s="1"/>
  <c r="U24" i="18" s="1"/>
  <c r="N73" i="73"/>
  <c r="AE16" i="16" s="1"/>
  <c r="AE16" i="18" s="1"/>
  <c r="M84" i="72"/>
  <c r="AF27" i="16" s="1"/>
  <c r="M74" i="71"/>
  <c r="AH17" i="16" s="1"/>
  <c r="M74" i="76"/>
  <c r="Z17" i="16" s="1"/>
  <c r="N83" i="86"/>
  <c r="E26" i="16" s="1"/>
  <c r="E26" i="18" s="1"/>
  <c r="N86" i="85"/>
  <c r="G29" i="16" s="1"/>
  <c r="G29" i="18" s="1"/>
  <c r="M74" i="82"/>
  <c r="J17" i="16" s="1"/>
  <c r="G17" i="17" s="1"/>
  <c r="G17" i="19" s="1"/>
  <c r="G26" i="17"/>
  <c r="G26" i="19" s="1"/>
  <c r="M77" i="83"/>
  <c r="N20" i="16" s="1"/>
  <c r="I26" i="17"/>
  <c r="I26" i="19" s="1"/>
  <c r="N79" i="76"/>
  <c r="AA22" i="16" s="1"/>
  <c r="AA22" i="18" s="1"/>
  <c r="M83" i="74"/>
  <c r="AB26" i="16" s="1"/>
  <c r="AB26" i="18" s="1"/>
  <c r="M72" i="73"/>
  <c r="AD15" i="16" s="1"/>
  <c r="AD15" i="18" s="1"/>
  <c r="N70" i="73"/>
  <c r="AE13" i="16" s="1"/>
  <c r="AE13" i="18" s="1"/>
  <c r="M70" i="77"/>
  <c r="V13" i="16" s="1"/>
  <c r="M79" i="82"/>
  <c r="J22" i="16" s="1"/>
  <c r="M80" i="79"/>
  <c r="L23" i="16" s="1"/>
  <c r="M69" i="72"/>
  <c r="AF12" i="16" s="1"/>
  <c r="M67" i="68"/>
  <c r="AJ10" i="16" s="1"/>
  <c r="M80" i="83"/>
  <c r="N23" i="16" s="1"/>
  <c r="N23" i="18" s="1"/>
  <c r="M71" i="70"/>
  <c r="AL14" i="16" s="1"/>
  <c r="AL14" i="18" s="1"/>
  <c r="M69" i="79"/>
  <c r="L12" i="16" s="1"/>
  <c r="N73" i="83"/>
  <c r="O16" i="16" s="1"/>
  <c r="O16" i="18" s="1"/>
  <c r="R28" i="87"/>
  <c r="B81" i="87"/>
  <c r="B55" i="87"/>
  <c r="R35" i="87"/>
  <c r="B62" i="87"/>
  <c r="B86" i="87"/>
  <c r="S26" i="17"/>
  <c r="S26" i="19" s="1"/>
  <c r="N72" i="79"/>
  <c r="M15" i="16" s="1"/>
  <c r="M15" i="18" s="1"/>
  <c r="M75" i="86"/>
  <c r="D18" i="16" s="1"/>
  <c r="D18" i="18" s="1"/>
  <c r="N74" i="68"/>
  <c r="AK17" i="16" s="1"/>
  <c r="AK17" i="18" s="1"/>
  <c r="S48" i="85"/>
  <c r="R36" i="85"/>
  <c r="M87" i="79"/>
  <c r="L30" i="16" s="1"/>
  <c r="H30" i="17" s="1"/>
  <c r="H30" i="19" s="1"/>
  <c r="M87" i="81"/>
  <c r="P30" i="16" s="1"/>
  <c r="P30" i="18" s="1"/>
  <c r="N74" i="80"/>
  <c r="S17" i="16" s="1"/>
  <c r="S17" i="18" s="1"/>
  <c r="M82" i="75"/>
  <c r="X25" i="16" s="1"/>
  <c r="M84" i="73"/>
  <c r="AD27" i="16" s="1"/>
  <c r="M80" i="73"/>
  <c r="AD23" i="16" s="1"/>
  <c r="AD23" i="18" s="1"/>
  <c r="N83" i="78"/>
  <c r="U26" i="16" s="1"/>
  <c r="U26" i="18" s="1"/>
  <c r="N80" i="72"/>
  <c r="AG23" i="16" s="1"/>
  <c r="AG23" i="18" s="1"/>
  <c r="N79" i="71"/>
  <c r="AI22" i="16" s="1"/>
  <c r="AI22" i="18" s="1"/>
  <c r="M71" i="69"/>
  <c r="AN14" i="16" s="1"/>
  <c r="AN14" i="18" s="1"/>
  <c r="N83" i="85"/>
  <c r="G26" i="16" s="1"/>
  <c r="G26" i="18" s="1"/>
  <c r="M76" i="82"/>
  <c r="J19" i="16" s="1"/>
  <c r="J19" i="18" s="1"/>
  <c r="N84" i="79"/>
  <c r="M27" i="16" s="1"/>
  <c r="M27" i="18" s="1"/>
  <c r="B72" i="87"/>
  <c r="R18" i="87"/>
  <c r="B45" i="87"/>
  <c r="N75" i="85"/>
  <c r="G18" i="16" s="1"/>
  <c r="G18" i="18" s="1"/>
  <c r="N81" i="85"/>
  <c r="G24" i="16" s="1"/>
  <c r="G24" i="18" s="1"/>
  <c r="N84" i="84"/>
  <c r="I27" i="16" s="1"/>
  <c r="I27" i="18" s="1"/>
  <c r="M68" i="86"/>
  <c r="D11" i="16" s="1"/>
  <c r="N86" i="86"/>
  <c r="E29" i="16" s="1"/>
  <c r="E29" i="18" s="1"/>
  <c r="N82" i="85"/>
  <c r="G25" i="16" s="1"/>
  <c r="G25" i="18" s="1"/>
  <c r="N74" i="85"/>
  <c r="G17" i="16" s="1"/>
  <c r="G17" i="18" s="1"/>
  <c r="N75" i="84"/>
  <c r="I18" i="16" s="1"/>
  <c r="I18" i="18" s="1"/>
  <c r="M69" i="84"/>
  <c r="H12" i="16" s="1"/>
  <c r="H12" i="18" s="1"/>
  <c r="N80" i="84"/>
  <c r="I23" i="16" s="1"/>
  <c r="I23" i="18" s="1"/>
  <c r="M70" i="84"/>
  <c r="H13" i="16" s="1"/>
  <c r="H13" i="18" s="1"/>
  <c r="M70" i="86"/>
  <c r="D13" i="16" s="1"/>
  <c r="D13" i="18" s="1"/>
  <c r="M80" i="86"/>
  <c r="D23" i="16" s="1"/>
  <c r="N79" i="86"/>
  <c r="E22" i="16" s="1"/>
  <c r="E22" i="18" s="1"/>
  <c r="N68" i="85"/>
  <c r="G11" i="16" s="1"/>
  <c r="G11" i="18" s="1"/>
  <c r="M78" i="85"/>
  <c r="F21" i="16" s="1"/>
  <c r="F21" i="18" s="1"/>
  <c r="M72" i="85"/>
  <c r="F15" i="16" s="1"/>
  <c r="F15" i="18" s="1"/>
  <c r="N73" i="85"/>
  <c r="G16" i="16" s="1"/>
  <c r="G16" i="18" s="1"/>
  <c r="M83" i="85"/>
  <c r="F26" i="16" s="1"/>
  <c r="F26" i="18" s="1"/>
  <c r="M73" i="85"/>
  <c r="F16" i="16" s="1"/>
  <c r="N87" i="84"/>
  <c r="I30" i="16" s="1"/>
  <c r="I30" i="18" s="1"/>
  <c r="N86" i="84"/>
  <c r="I29" i="16" s="1"/>
  <c r="I29" i="18" s="1"/>
  <c r="M83" i="84"/>
  <c r="H26" i="16" s="1"/>
  <c r="H26" i="18" s="1"/>
  <c r="M71" i="84"/>
  <c r="H14" i="16" s="1"/>
  <c r="H14" i="18" s="1"/>
  <c r="M84" i="83"/>
  <c r="N27" i="16" s="1"/>
  <c r="I17" i="17"/>
  <c r="I17" i="19" s="1"/>
  <c r="I21" i="17"/>
  <c r="I21" i="19" s="1"/>
  <c r="N85" i="79"/>
  <c r="M28" i="16" s="1"/>
  <c r="M28" i="18" s="1"/>
  <c r="M84" i="79"/>
  <c r="L27" i="16" s="1"/>
  <c r="N81" i="79"/>
  <c r="M24" i="16" s="1"/>
  <c r="M24" i="18" s="1"/>
  <c r="L12" i="18"/>
  <c r="H12" i="17"/>
  <c r="H12" i="19" s="1"/>
  <c r="M73" i="79"/>
  <c r="L16" i="16" s="1"/>
  <c r="H16" i="17" s="1"/>
  <c r="H16" i="19" s="1"/>
  <c r="H11" i="17"/>
  <c r="H11" i="19" s="1"/>
  <c r="M71" i="79"/>
  <c r="L14" i="16" s="1"/>
  <c r="M78" i="79"/>
  <c r="L21" i="16" s="1"/>
  <c r="M74" i="79"/>
  <c r="L17" i="16" s="1"/>
  <c r="M77" i="79"/>
  <c r="L20" i="16" s="1"/>
  <c r="L20" i="18" s="1"/>
  <c r="M81" i="82"/>
  <c r="J24" i="16" s="1"/>
  <c r="G24" i="17" s="1"/>
  <c r="G24" i="19" s="1"/>
  <c r="N80" i="82"/>
  <c r="K23" i="16" s="1"/>
  <c r="K23" i="18" s="1"/>
  <c r="G25" i="17"/>
  <c r="G25" i="19" s="1"/>
  <c r="M87" i="84"/>
  <c r="H30" i="16" s="1"/>
  <c r="H30" i="18" s="1"/>
  <c r="M86" i="84"/>
  <c r="H29" i="16" s="1"/>
  <c r="H29" i="18" s="1"/>
  <c r="M77" i="84"/>
  <c r="H20" i="16" s="1"/>
  <c r="N68" i="84"/>
  <c r="I11" i="16" s="1"/>
  <c r="I11" i="18" s="1"/>
  <c r="N70" i="84"/>
  <c r="I13" i="16" s="1"/>
  <c r="I13" i="18" s="1"/>
  <c r="N76" i="84"/>
  <c r="I19" i="16" s="1"/>
  <c r="I19" i="18" s="1"/>
  <c r="N69" i="84"/>
  <c r="I12" i="16" s="1"/>
  <c r="I12" i="18" s="1"/>
  <c r="M80" i="84"/>
  <c r="H23" i="16" s="1"/>
  <c r="H23" i="18" s="1"/>
  <c r="N72" i="84"/>
  <c r="I15" i="16" s="1"/>
  <c r="I15" i="18" s="1"/>
  <c r="H11" i="18"/>
  <c r="H24" i="18"/>
  <c r="F24" i="17"/>
  <c r="F24" i="19" s="1"/>
  <c r="M78" i="84"/>
  <c r="H21" i="16" s="1"/>
  <c r="M85" i="84"/>
  <c r="H28" i="16" s="1"/>
  <c r="F28" i="17" s="1"/>
  <c r="F28" i="19" s="1"/>
  <c r="N78" i="86"/>
  <c r="E21" i="16" s="1"/>
  <c r="E21" i="18" s="1"/>
  <c r="M70" i="85"/>
  <c r="F13" i="16" s="1"/>
  <c r="F13" i="18" s="1"/>
  <c r="N70" i="85"/>
  <c r="G13" i="16" s="1"/>
  <c r="G13" i="18" s="1"/>
  <c r="N76" i="85"/>
  <c r="G19" i="16" s="1"/>
  <c r="G19" i="18" s="1"/>
  <c r="N77" i="85"/>
  <c r="G20" i="16" s="1"/>
  <c r="G20" i="18" s="1"/>
  <c r="M85" i="85"/>
  <c r="F28" i="16" s="1"/>
  <c r="F28" i="18" s="1"/>
  <c r="N84" i="85"/>
  <c r="G27" i="16" s="1"/>
  <c r="G27" i="18" s="1"/>
  <c r="M75" i="85"/>
  <c r="F18" i="16" s="1"/>
  <c r="F18" i="18" s="1"/>
  <c r="M69" i="85"/>
  <c r="F12" i="16" s="1"/>
  <c r="F12" i="18" s="1"/>
  <c r="M79" i="86"/>
  <c r="D22" i="16" s="1"/>
  <c r="D22" i="18" s="1"/>
  <c r="M72" i="86"/>
  <c r="D15" i="16" s="1"/>
  <c r="D15" i="18" s="1"/>
  <c r="N70" i="86"/>
  <c r="E13" i="16" s="1"/>
  <c r="E13" i="18" s="1"/>
  <c r="N81" i="86"/>
  <c r="E24" i="16" s="1"/>
  <c r="E24" i="18" s="1"/>
  <c r="M78" i="86"/>
  <c r="D21" i="16" s="1"/>
  <c r="D21" i="18" s="1"/>
  <c r="M73" i="86"/>
  <c r="D16" i="16" s="1"/>
  <c r="D16" i="18" s="1"/>
  <c r="N73" i="86"/>
  <c r="E16" i="16" s="1"/>
  <c r="E16" i="18" s="1"/>
  <c r="N74" i="86"/>
  <c r="E17" i="16" s="1"/>
  <c r="E17" i="18" s="1"/>
  <c r="U55" i="86"/>
  <c r="N69" i="86"/>
  <c r="E12" i="16" s="1"/>
  <c r="E12" i="18" s="1"/>
  <c r="M86" i="69"/>
  <c r="AN29" i="16" s="1"/>
  <c r="N86" i="69"/>
  <c r="AO29" i="16" s="1"/>
  <c r="AO29" i="18" s="1"/>
  <c r="M83" i="69"/>
  <c r="AN26" i="16" s="1"/>
  <c r="N82" i="69"/>
  <c r="AO25" i="16" s="1"/>
  <c r="AO25" i="18" s="1"/>
  <c r="N76" i="69"/>
  <c r="AO19" i="16" s="1"/>
  <c r="AO19" i="18" s="1"/>
  <c r="N87" i="69"/>
  <c r="AO30" i="16" s="1"/>
  <c r="AO30" i="18" s="1"/>
  <c r="N85" i="69"/>
  <c r="AO28" i="16" s="1"/>
  <c r="AO28" i="18" s="1"/>
  <c r="V27" i="17"/>
  <c r="V27" i="19" s="1"/>
  <c r="AN25" i="18"/>
  <c r="V25" i="17"/>
  <c r="V25" i="19" s="1"/>
  <c r="M73" i="69"/>
  <c r="AN16" i="16" s="1"/>
  <c r="M72" i="69"/>
  <c r="AN15" i="16" s="1"/>
  <c r="V15" i="17" s="1"/>
  <c r="V15" i="19" s="1"/>
  <c r="M68" i="69"/>
  <c r="AN11" i="16" s="1"/>
  <c r="AN27" i="18"/>
  <c r="M75" i="70"/>
  <c r="AL18" i="16" s="1"/>
  <c r="M85" i="21"/>
  <c r="AP28" i="16" s="1"/>
  <c r="N84" i="21"/>
  <c r="AQ27" i="16" s="1"/>
  <c r="AQ27" i="18" s="1"/>
  <c r="N81" i="21"/>
  <c r="AQ24" i="16" s="1"/>
  <c r="AQ24" i="18" s="1"/>
  <c r="N75" i="21"/>
  <c r="AQ18" i="16" s="1"/>
  <c r="AQ18" i="18" s="1"/>
  <c r="N72" i="21"/>
  <c r="AQ15" i="16" s="1"/>
  <c r="AQ15" i="18" s="1"/>
  <c r="N87" i="21"/>
  <c r="AQ30" i="16" s="1"/>
  <c r="AQ30" i="18" s="1"/>
  <c r="M81" i="78"/>
  <c r="T24" i="16" s="1"/>
  <c r="L24" i="17" s="1"/>
  <c r="L24" i="19" s="1"/>
  <c r="L12" i="17"/>
  <c r="L12" i="19" s="1"/>
  <c r="M86" i="78"/>
  <c r="T29" i="16" s="1"/>
  <c r="T29" i="18" s="1"/>
  <c r="M75" i="78"/>
  <c r="T18" i="16" s="1"/>
  <c r="T18" i="18" s="1"/>
  <c r="M87" i="78"/>
  <c r="T30" i="16" s="1"/>
  <c r="M74" i="78"/>
  <c r="T17" i="16" s="1"/>
  <c r="M80" i="78"/>
  <c r="T23" i="16" s="1"/>
  <c r="L23" i="17" s="1"/>
  <c r="L23" i="19" s="1"/>
  <c r="M79" i="78"/>
  <c r="T22" i="16" s="1"/>
  <c r="L21" i="17"/>
  <c r="L21" i="19" s="1"/>
  <c r="M77" i="78"/>
  <c r="T20" i="16" s="1"/>
  <c r="N87" i="78"/>
  <c r="U30" i="16" s="1"/>
  <c r="U30" i="18" s="1"/>
  <c r="L29" i="17"/>
  <c r="L29" i="19" s="1"/>
  <c r="L26" i="17"/>
  <c r="L26" i="19" s="1"/>
  <c r="N76" i="78"/>
  <c r="U19" i="16" s="1"/>
  <c r="U19" i="18" s="1"/>
  <c r="M68" i="78"/>
  <c r="T11" i="16" s="1"/>
  <c r="N67" i="78"/>
  <c r="U10" i="16" s="1"/>
  <c r="U10" i="18" s="1"/>
  <c r="M67" i="78"/>
  <c r="T10" i="16" s="1"/>
  <c r="N73" i="70"/>
  <c r="AM16" i="16" s="1"/>
  <c r="AM16" i="18" s="1"/>
  <c r="M76" i="70"/>
  <c r="AL19" i="16" s="1"/>
  <c r="AL19" i="18" s="1"/>
  <c r="N83" i="70"/>
  <c r="AM26" i="16" s="1"/>
  <c r="AM26" i="18" s="1"/>
  <c r="N67" i="70"/>
  <c r="AM10" i="16" s="1"/>
  <c r="AM10" i="18" s="1"/>
  <c r="N70" i="70"/>
  <c r="AM13" i="16" s="1"/>
  <c r="AM13" i="18" s="1"/>
  <c r="U14" i="17"/>
  <c r="U14" i="19" s="1"/>
  <c r="U17" i="17"/>
  <c r="U17" i="19" s="1"/>
  <c r="M81" i="70"/>
  <c r="AL24" i="16" s="1"/>
  <c r="AL24" i="18" s="1"/>
  <c r="U30" i="17"/>
  <c r="U30" i="19" s="1"/>
  <c r="AL17" i="18"/>
  <c r="M84" i="68"/>
  <c r="AJ27" i="16" s="1"/>
  <c r="AJ27" i="18" s="1"/>
  <c r="N85" i="68"/>
  <c r="AK28" i="16" s="1"/>
  <c r="AK28" i="18" s="1"/>
  <c r="N83" i="68"/>
  <c r="AK26" i="16" s="1"/>
  <c r="AK26" i="18" s="1"/>
  <c r="N82" i="68"/>
  <c r="AK25" i="16" s="1"/>
  <c r="AK25" i="18" s="1"/>
  <c r="M78" i="68"/>
  <c r="AJ21" i="16" s="1"/>
  <c r="AJ21" i="18" s="1"/>
  <c r="N77" i="68"/>
  <c r="AK20" i="16" s="1"/>
  <c r="AK20" i="18" s="1"/>
  <c r="M69" i="68"/>
  <c r="AJ12" i="16" s="1"/>
  <c r="M76" i="71"/>
  <c r="AH19" i="16" s="1"/>
  <c r="AH19" i="18" s="1"/>
  <c r="AH15" i="18"/>
  <c r="AI23" i="18"/>
  <c r="S23" i="17"/>
  <c r="S23" i="19" s="1"/>
  <c r="S21" i="17"/>
  <c r="S21" i="19" s="1"/>
  <c r="N77" i="71"/>
  <c r="AI20" i="16" s="1"/>
  <c r="AI20" i="18" s="1"/>
  <c r="N76" i="71"/>
  <c r="AI19" i="16" s="1"/>
  <c r="AI19" i="18" s="1"/>
  <c r="M67" i="71"/>
  <c r="AH10" i="16" s="1"/>
  <c r="AH10" i="18" s="1"/>
  <c r="M86" i="71"/>
  <c r="AH29" i="16" s="1"/>
  <c r="AH29" i="18" s="1"/>
  <c r="M82" i="71"/>
  <c r="AH25" i="16" s="1"/>
  <c r="AH25" i="18" s="1"/>
  <c r="S13" i="17"/>
  <c r="S13" i="19" s="1"/>
  <c r="M81" i="72"/>
  <c r="AF24" i="16" s="1"/>
  <c r="R24" i="17" s="1"/>
  <c r="R24" i="19" s="1"/>
  <c r="N76" i="72"/>
  <c r="AG19" i="16" s="1"/>
  <c r="AG19" i="18" s="1"/>
  <c r="M71" i="72"/>
  <c r="AF14" i="16" s="1"/>
  <c r="AF14" i="18" s="1"/>
  <c r="AF13" i="18"/>
  <c r="M67" i="72"/>
  <c r="AF10" i="16" s="1"/>
  <c r="AF10" i="18" s="1"/>
  <c r="M75" i="72"/>
  <c r="AF18" i="16" s="1"/>
  <c r="AF18" i="18" s="1"/>
  <c r="R14" i="17"/>
  <c r="R14" i="19" s="1"/>
  <c r="N69" i="72"/>
  <c r="AG12" i="16" s="1"/>
  <c r="AG12" i="18" s="1"/>
  <c r="N68" i="72"/>
  <c r="AG11" i="16" s="1"/>
  <c r="AG11" i="18" s="1"/>
  <c r="M68" i="72"/>
  <c r="AF11" i="16" s="1"/>
  <c r="M87" i="21"/>
  <c r="AP30" i="16" s="1"/>
  <c r="AP30" i="18" s="1"/>
  <c r="W22" i="17"/>
  <c r="W22" i="19" s="1"/>
  <c r="N73" i="21"/>
  <c r="AQ16" i="16" s="1"/>
  <c r="AQ16" i="18" s="1"/>
  <c r="M70" i="21"/>
  <c r="AP13" i="16" s="1"/>
  <c r="AP13" i="18" s="1"/>
  <c r="N67" i="21"/>
  <c r="AQ10" i="16" s="1"/>
  <c r="AQ10" i="18" s="1"/>
  <c r="M82" i="21"/>
  <c r="AP25" i="16" s="1"/>
  <c r="AP25" i="18" s="1"/>
  <c r="M76" i="21"/>
  <c r="AP19" i="16" s="1"/>
  <c r="AP19" i="18" s="1"/>
  <c r="M75" i="21"/>
  <c r="AP18" i="16" s="1"/>
  <c r="AP18" i="18" s="1"/>
  <c r="N74" i="21"/>
  <c r="AQ17" i="16" s="1"/>
  <c r="AQ17" i="18" s="1"/>
  <c r="N70" i="21"/>
  <c r="AQ13" i="16" s="1"/>
  <c r="AQ13" i="18" s="1"/>
  <c r="S24" i="17"/>
  <c r="S24" i="19" s="1"/>
  <c r="H25" i="17"/>
  <c r="H25" i="19" s="1"/>
  <c r="AL29" i="18"/>
  <c r="U29" i="17"/>
  <c r="U29" i="19" s="1"/>
  <c r="N84" i="70"/>
  <c r="AM27" i="16" s="1"/>
  <c r="AM27" i="18" s="1"/>
  <c r="M84" i="70"/>
  <c r="AL27" i="16" s="1"/>
  <c r="U54" i="70"/>
  <c r="AL26" i="18"/>
  <c r="M82" i="70"/>
  <c r="AL25" i="16" s="1"/>
  <c r="N81" i="70"/>
  <c r="AM24" i="16" s="1"/>
  <c r="AM24" i="18" s="1"/>
  <c r="AL23" i="18"/>
  <c r="U23" i="17"/>
  <c r="U23" i="19" s="1"/>
  <c r="U55" i="70"/>
  <c r="AL22" i="18"/>
  <c r="U22" i="17"/>
  <c r="U22" i="19" s="1"/>
  <c r="AL18" i="18"/>
  <c r="AL16" i="18"/>
  <c r="U16" i="17"/>
  <c r="U16" i="19" s="1"/>
  <c r="U11" i="17"/>
  <c r="U11" i="19" s="1"/>
  <c r="AL13" i="18"/>
  <c r="U13" i="17"/>
  <c r="U13" i="19" s="1"/>
  <c r="M74" i="21"/>
  <c r="AP17" i="16" s="1"/>
  <c r="U55" i="21"/>
  <c r="M71" i="21"/>
  <c r="AP14" i="16" s="1"/>
  <c r="U54" i="21"/>
  <c r="M68" i="21"/>
  <c r="AP11" i="16" s="1"/>
  <c r="M73" i="21"/>
  <c r="AP16" i="16" s="1"/>
  <c r="AP27" i="18"/>
  <c r="W27" i="17"/>
  <c r="W27" i="19" s="1"/>
  <c r="M67" i="21"/>
  <c r="AP10" i="16" s="1"/>
  <c r="M83" i="21"/>
  <c r="AP26" i="16" s="1"/>
  <c r="N83" i="21"/>
  <c r="AQ26" i="16" s="1"/>
  <c r="AQ26" i="18" s="1"/>
  <c r="M80" i="21"/>
  <c r="AP23" i="16" s="1"/>
  <c r="N80" i="21"/>
  <c r="AQ23" i="16" s="1"/>
  <c r="AQ23" i="18" s="1"/>
  <c r="AP29" i="18"/>
  <c r="W29" i="17"/>
  <c r="W29" i="19" s="1"/>
  <c r="W12" i="17"/>
  <c r="W12" i="19" s="1"/>
  <c r="AP12" i="18"/>
  <c r="AP15" i="18"/>
  <c r="W20" i="17"/>
  <c r="W20" i="19" s="1"/>
  <c r="AP20" i="18"/>
  <c r="M81" i="21"/>
  <c r="AP24" i="16" s="1"/>
  <c r="AP28" i="18"/>
  <c r="W28" i="17"/>
  <c r="W28" i="19" s="1"/>
  <c r="M75" i="69"/>
  <c r="AN18" i="16" s="1"/>
  <c r="AN18" i="18" s="1"/>
  <c r="N75" i="69"/>
  <c r="AO18" i="16" s="1"/>
  <c r="AO18" i="18" s="1"/>
  <c r="U55" i="69"/>
  <c r="AN29" i="18"/>
  <c r="M85" i="69"/>
  <c r="AN28" i="16" s="1"/>
  <c r="U54" i="69"/>
  <c r="AN24" i="18"/>
  <c r="N81" i="69"/>
  <c r="AO24" i="16" s="1"/>
  <c r="AO24" i="18" s="1"/>
  <c r="AN23" i="18"/>
  <c r="V22" i="17"/>
  <c r="V22" i="19" s="1"/>
  <c r="AN22" i="18"/>
  <c r="AN17" i="18"/>
  <c r="V17" i="17"/>
  <c r="V17" i="19" s="1"/>
  <c r="V16" i="17"/>
  <c r="V16" i="19" s="1"/>
  <c r="AN16" i="18"/>
  <c r="V14" i="17"/>
  <c r="V14" i="19" s="1"/>
  <c r="V12" i="17"/>
  <c r="V12" i="19" s="1"/>
  <c r="AN12" i="18"/>
  <c r="N67" i="69"/>
  <c r="AO10" i="16" s="1"/>
  <c r="AO10" i="18" s="1"/>
  <c r="M67" i="69"/>
  <c r="AN10" i="16" s="1"/>
  <c r="M83" i="68"/>
  <c r="AJ26" i="16" s="1"/>
  <c r="AJ26" i="18" s="1"/>
  <c r="M74" i="68"/>
  <c r="AJ17" i="16" s="1"/>
  <c r="AJ17" i="18" s="1"/>
  <c r="M79" i="68"/>
  <c r="AJ22" i="16" s="1"/>
  <c r="AJ22" i="18" s="1"/>
  <c r="N79" i="68"/>
  <c r="AK22" i="16" s="1"/>
  <c r="AK22" i="18" s="1"/>
  <c r="M87" i="68"/>
  <c r="AJ30" i="16" s="1"/>
  <c r="N80" i="68"/>
  <c r="AK23" i="16" s="1"/>
  <c r="AK23" i="18" s="1"/>
  <c r="N72" i="68"/>
  <c r="AK15" i="16" s="1"/>
  <c r="AK15" i="18" s="1"/>
  <c r="N69" i="68"/>
  <c r="AK12" i="16" s="1"/>
  <c r="AK12" i="18" s="1"/>
  <c r="AJ29" i="18"/>
  <c r="T29" i="17"/>
  <c r="T29" i="19" s="1"/>
  <c r="N75" i="68"/>
  <c r="AK18" i="16" s="1"/>
  <c r="AK18" i="18" s="1"/>
  <c r="N81" i="68"/>
  <c r="AK24" i="16" s="1"/>
  <c r="AK24" i="18" s="1"/>
  <c r="M81" i="68"/>
  <c r="AJ24" i="16" s="1"/>
  <c r="AJ13" i="18"/>
  <c r="AJ15" i="18"/>
  <c r="U54" i="68"/>
  <c r="AJ14" i="18"/>
  <c r="T14" i="17"/>
  <c r="T14" i="19" s="1"/>
  <c r="AJ23" i="18"/>
  <c r="AJ19" i="18"/>
  <c r="T19" i="17"/>
  <c r="T19" i="19" s="1"/>
  <c r="T26" i="17"/>
  <c r="T26" i="19" s="1"/>
  <c r="M82" i="68"/>
  <c r="AJ25" i="16" s="1"/>
  <c r="U55" i="68"/>
  <c r="T10" i="17"/>
  <c r="T10" i="19" s="1"/>
  <c r="AJ10" i="18"/>
  <c r="N68" i="68"/>
  <c r="AK11" i="16" s="1"/>
  <c r="AK11" i="18" s="1"/>
  <c r="M68" i="68"/>
  <c r="AJ11" i="16" s="1"/>
  <c r="AJ20" i="18"/>
  <c r="M77" i="71"/>
  <c r="AH20" i="16" s="1"/>
  <c r="AH20" i="18" s="1"/>
  <c r="N67" i="71"/>
  <c r="AI10" i="16" s="1"/>
  <c r="AI10" i="18" s="1"/>
  <c r="N82" i="71"/>
  <c r="AI25" i="16" s="1"/>
  <c r="AI25" i="18" s="1"/>
  <c r="N71" i="71"/>
  <c r="AI14" i="16" s="1"/>
  <c r="AI14" i="18" s="1"/>
  <c r="AH14" i="18"/>
  <c r="S17" i="17"/>
  <c r="S17" i="19" s="1"/>
  <c r="AH17" i="18"/>
  <c r="AH12" i="18"/>
  <c r="S12" i="17"/>
  <c r="S12" i="19" s="1"/>
  <c r="AH28" i="18"/>
  <c r="U55" i="71"/>
  <c r="AH30" i="18"/>
  <c r="S30" i="17"/>
  <c r="S30" i="19" s="1"/>
  <c r="AH18" i="18"/>
  <c r="S18" i="17"/>
  <c r="S18" i="19" s="1"/>
  <c r="U54" i="71"/>
  <c r="S27" i="17"/>
  <c r="S27" i="19" s="1"/>
  <c r="AH27" i="18"/>
  <c r="S16" i="17"/>
  <c r="S16" i="19" s="1"/>
  <c r="AH16" i="18"/>
  <c r="S11" i="17"/>
  <c r="S11" i="19" s="1"/>
  <c r="M79" i="71"/>
  <c r="AH22" i="16" s="1"/>
  <c r="N83" i="72"/>
  <c r="AG26" i="16" s="1"/>
  <c r="AG26" i="18" s="1"/>
  <c r="M86" i="72"/>
  <c r="AF29" i="16" s="1"/>
  <c r="AF29" i="18" s="1"/>
  <c r="R19" i="17"/>
  <c r="R19" i="19" s="1"/>
  <c r="U55" i="72"/>
  <c r="AF12" i="18"/>
  <c r="AF30" i="18"/>
  <c r="N87" i="72"/>
  <c r="AG30" i="16" s="1"/>
  <c r="AG30" i="18" s="1"/>
  <c r="AF28" i="18"/>
  <c r="R28" i="17"/>
  <c r="R28" i="19" s="1"/>
  <c r="AF26" i="18"/>
  <c r="AF24" i="18"/>
  <c r="AF23" i="18"/>
  <c r="R17" i="17"/>
  <c r="R17" i="19" s="1"/>
  <c r="U54" i="72"/>
  <c r="AF27" i="18"/>
  <c r="R27" i="17"/>
  <c r="R27" i="19" s="1"/>
  <c r="R10" i="17"/>
  <c r="R10" i="19" s="1"/>
  <c r="Q25" i="17"/>
  <c r="Q25" i="19" s="1"/>
  <c r="AD25" i="18"/>
  <c r="M73" i="73"/>
  <c r="AD16" i="16" s="1"/>
  <c r="N86" i="76"/>
  <c r="AA29" i="16" s="1"/>
  <c r="M84" i="76"/>
  <c r="Z27" i="16" s="1"/>
  <c r="M82" i="76"/>
  <c r="Z25" i="16" s="1"/>
  <c r="M80" i="76"/>
  <c r="Z23" i="16" s="1"/>
  <c r="M76" i="76"/>
  <c r="Z19" i="16" s="1"/>
  <c r="Z19" i="18" s="1"/>
  <c r="X15" i="18"/>
  <c r="F28" i="67"/>
  <c r="F29" i="67" s="1"/>
  <c r="N74" i="77"/>
  <c r="W17" i="16" s="1"/>
  <c r="W17" i="18" s="1"/>
  <c r="M74" i="77"/>
  <c r="V17" i="16" s="1"/>
  <c r="V17" i="18" s="1"/>
  <c r="M29" i="17"/>
  <c r="M29" i="19" s="1"/>
  <c r="V28" i="18"/>
  <c r="N85" i="77"/>
  <c r="W28" i="16" s="1"/>
  <c r="W28" i="18" s="1"/>
  <c r="M11" i="17"/>
  <c r="M11" i="19" s="1"/>
  <c r="M82" i="78"/>
  <c r="T25" i="16" s="1"/>
  <c r="T25" i="18" s="1"/>
  <c r="M76" i="78"/>
  <c r="T19" i="16" s="1"/>
  <c r="U55" i="78"/>
  <c r="J23" i="17"/>
  <c r="J23" i="19" s="1"/>
  <c r="N79" i="80"/>
  <c r="S22" i="16" s="1"/>
  <c r="S22" i="18" s="1"/>
  <c r="N73" i="80"/>
  <c r="S16" i="16" s="1"/>
  <c r="S16" i="18" s="1"/>
  <c r="U54" i="80"/>
  <c r="J17" i="17"/>
  <c r="J17" i="19" s="1"/>
  <c r="U55" i="81"/>
  <c r="U55" i="83"/>
  <c r="U54" i="83"/>
  <c r="W26" i="83"/>
  <c r="N68" i="83"/>
  <c r="O11" i="16" s="1"/>
  <c r="O11" i="18" s="1"/>
  <c r="M85" i="79"/>
  <c r="L28" i="16" s="1"/>
  <c r="H28" i="17" s="1"/>
  <c r="H28" i="19" s="1"/>
  <c r="J22" i="18"/>
  <c r="G22" i="17"/>
  <c r="G22" i="19" s="1"/>
  <c r="N83" i="84"/>
  <c r="I26" i="16" s="1"/>
  <c r="I26" i="18" s="1"/>
  <c r="U54" i="84"/>
  <c r="U55" i="84"/>
  <c r="M76" i="84"/>
  <c r="H19" i="16" s="1"/>
  <c r="H19" i="18" s="1"/>
  <c r="N72" i="85"/>
  <c r="G15" i="16" s="1"/>
  <c r="G15" i="18" s="1"/>
  <c r="U54" i="85"/>
  <c r="U55" i="85"/>
  <c r="U54" i="86"/>
  <c r="E28" i="67"/>
  <c r="E29" i="67" s="1"/>
  <c r="N72" i="86"/>
  <c r="E15" i="16" s="1"/>
  <c r="E15" i="18" s="1"/>
  <c r="N71" i="86"/>
  <c r="E14" i="16" s="1"/>
  <c r="E14" i="18" s="1"/>
  <c r="M12" i="17"/>
  <c r="M12" i="19" s="1"/>
  <c r="V12" i="18"/>
  <c r="V13" i="18"/>
  <c r="N70" i="77"/>
  <c r="W13" i="16" s="1"/>
  <c r="W13" i="18" s="1"/>
  <c r="U54" i="77"/>
  <c r="M25" i="17"/>
  <c r="M25" i="19" s="1"/>
  <c r="V25" i="18"/>
  <c r="M23" i="17"/>
  <c r="M23" i="19" s="1"/>
  <c r="M78" i="77"/>
  <c r="V21" i="16" s="1"/>
  <c r="M20" i="17"/>
  <c r="M20" i="19" s="1"/>
  <c r="V20" i="18"/>
  <c r="M19" i="17"/>
  <c r="M19" i="19" s="1"/>
  <c r="N75" i="77"/>
  <c r="W18" i="16" s="1"/>
  <c r="W18" i="18" s="1"/>
  <c r="M75" i="77"/>
  <c r="V18" i="16" s="1"/>
  <c r="M17" i="17"/>
  <c r="M17" i="19" s="1"/>
  <c r="V15" i="18"/>
  <c r="M15" i="17"/>
  <c r="M15" i="19" s="1"/>
  <c r="M73" i="77"/>
  <c r="V16" i="16" s="1"/>
  <c r="U55" i="77"/>
  <c r="M14" i="17"/>
  <c r="M14" i="19" s="1"/>
  <c r="V14" i="18"/>
  <c r="N67" i="77"/>
  <c r="W10" i="16" s="1"/>
  <c r="W10" i="18" s="1"/>
  <c r="M67" i="77"/>
  <c r="V10" i="16" s="1"/>
  <c r="AD13" i="18"/>
  <c r="Q13" i="17"/>
  <c r="Q13" i="19" s="1"/>
  <c r="M68" i="73"/>
  <c r="AD11" i="16" s="1"/>
  <c r="AD10" i="18"/>
  <c r="Q10" i="17"/>
  <c r="Q10" i="19" s="1"/>
  <c r="AD30" i="18"/>
  <c r="Q30" i="17"/>
  <c r="Q30" i="19" s="1"/>
  <c r="AD29" i="18"/>
  <c r="Q29" i="17"/>
  <c r="Q29" i="19" s="1"/>
  <c r="AD28" i="18"/>
  <c r="Q28" i="17"/>
  <c r="Q28" i="19" s="1"/>
  <c r="M83" i="73"/>
  <c r="AD26" i="16" s="1"/>
  <c r="Q24" i="17"/>
  <c r="Q24" i="19" s="1"/>
  <c r="AD24" i="18"/>
  <c r="AD20" i="18"/>
  <c r="Q20" i="17"/>
  <c r="Q20" i="19" s="1"/>
  <c r="Q19" i="17"/>
  <c r="Q19" i="19" s="1"/>
  <c r="AD19" i="18"/>
  <c r="N74" i="73"/>
  <c r="AE17" i="16" s="1"/>
  <c r="AE17" i="18" s="1"/>
  <c r="AD14" i="18"/>
  <c r="U55" i="73"/>
  <c r="N71" i="73"/>
  <c r="AE14" i="16" s="1"/>
  <c r="AE14" i="18" s="1"/>
  <c r="U54" i="73"/>
  <c r="AD27" i="18"/>
  <c r="Q27" i="17"/>
  <c r="Q27" i="19" s="1"/>
  <c r="AD22" i="18"/>
  <c r="N79" i="73"/>
  <c r="AE22" i="16" s="1"/>
  <c r="AE22" i="18" s="1"/>
  <c r="AB12" i="18"/>
  <c r="N69" i="74"/>
  <c r="AC12" i="16" s="1"/>
  <c r="AB13" i="18"/>
  <c r="N70" i="74"/>
  <c r="AC13" i="16" s="1"/>
  <c r="AC13" i="18" s="1"/>
  <c r="P11" i="17"/>
  <c r="P11" i="19" s="1"/>
  <c r="AB11" i="18"/>
  <c r="N87" i="74"/>
  <c r="AC30" i="16" s="1"/>
  <c r="AC30" i="18" s="1"/>
  <c r="P29" i="17"/>
  <c r="P29" i="19" s="1"/>
  <c r="AB28" i="18"/>
  <c r="P28" i="17"/>
  <c r="P28" i="19" s="1"/>
  <c r="N83" i="74"/>
  <c r="AC26" i="16" s="1"/>
  <c r="AC26" i="18" s="1"/>
  <c r="P25" i="17"/>
  <c r="P25" i="19" s="1"/>
  <c r="AB24" i="18"/>
  <c r="P24" i="17"/>
  <c r="P24" i="19" s="1"/>
  <c r="AB23" i="18"/>
  <c r="P21" i="17"/>
  <c r="P21" i="19" s="1"/>
  <c r="AB21" i="18"/>
  <c r="P20" i="17"/>
  <c r="P20" i="19" s="1"/>
  <c r="AB20" i="18"/>
  <c r="AB18" i="18"/>
  <c r="P18" i="17"/>
  <c r="P18" i="19" s="1"/>
  <c r="P17" i="17"/>
  <c r="P17" i="19" s="1"/>
  <c r="AB17" i="18"/>
  <c r="AB15" i="18"/>
  <c r="P15" i="17"/>
  <c r="P15" i="19" s="1"/>
  <c r="P16" i="17"/>
  <c r="P16" i="19" s="1"/>
  <c r="AB16" i="18"/>
  <c r="AB14" i="18"/>
  <c r="P14" i="17"/>
  <c r="P14" i="19" s="1"/>
  <c r="U55" i="74"/>
  <c r="P27" i="17"/>
  <c r="P27" i="19" s="1"/>
  <c r="U54" i="74"/>
  <c r="AB22" i="18"/>
  <c r="P22" i="17"/>
  <c r="P22" i="19" s="1"/>
  <c r="M69" i="76"/>
  <c r="Z12" i="16" s="1"/>
  <c r="N80" i="76"/>
  <c r="AA23" i="16" s="1"/>
  <c r="AA23" i="18" s="1"/>
  <c r="U54" i="76"/>
  <c r="U55" i="76"/>
  <c r="X30" i="18"/>
  <c r="N30" i="17"/>
  <c r="N30" i="19" s="1"/>
  <c r="N28" i="17"/>
  <c r="N28" i="19" s="1"/>
  <c r="X28" i="18"/>
  <c r="X29" i="18"/>
  <c r="N29" i="17"/>
  <c r="N29" i="19" s="1"/>
  <c r="N70" i="75"/>
  <c r="Y13" i="16" s="1"/>
  <c r="Y13" i="18" s="1"/>
  <c r="M70" i="75"/>
  <c r="X13" i="16" s="1"/>
  <c r="N11" i="17"/>
  <c r="N11" i="19" s="1"/>
  <c r="X11" i="18"/>
  <c r="X19" i="18"/>
  <c r="N19" i="17"/>
  <c r="N19" i="19" s="1"/>
  <c r="X18" i="18"/>
  <c r="N18" i="17"/>
  <c r="N18" i="19" s="1"/>
  <c r="X17" i="18"/>
  <c r="N17" i="17"/>
  <c r="N17" i="19" s="1"/>
  <c r="U55" i="75"/>
  <c r="M73" i="75"/>
  <c r="X16" i="16" s="1"/>
  <c r="X26" i="18"/>
  <c r="N26" i="17"/>
  <c r="N26" i="19" s="1"/>
  <c r="U54" i="75"/>
  <c r="X25" i="18"/>
  <c r="N82" i="75"/>
  <c r="Y25" i="16" s="1"/>
  <c r="Y25" i="18" s="1"/>
  <c r="N27" i="17"/>
  <c r="N27" i="19" s="1"/>
  <c r="X27" i="18"/>
  <c r="X10" i="18"/>
  <c r="T30" i="18"/>
  <c r="T28" i="18"/>
  <c r="L28" i="17"/>
  <c r="L28" i="19" s="1"/>
  <c r="U54" i="78"/>
  <c r="W33" i="78"/>
  <c r="T27" i="18"/>
  <c r="L27" i="17"/>
  <c r="L27" i="19" s="1"/>
  <c r="N82" i="78"/>
  <c r="U25" i="16" s="1"/>
  <c r="U25" i="18" s="1"/>
  <c r="T23" i="18"/>
  <c r="L17" i="17"/>
  <c r="L17" i="19" s="1"/>
  <c r="T17" i="18"/>
  <c r="T16" i="18"/>
  <c r="L16" i="17"/>
  <c r="L16" i="19" s="1"/>
  <c r="L15" i="17"/>
  <c r="L15" i="19" s="1"/>
  <c r="T15" i="18"/>
  <c r="L14" i="17"/>
  <c r="L14" i="19" s="1"/>
  <c r="T14" i="18"/>
  <c r="L13" i="17"/>
  <c r="L13" i="19" s="1"/>
  <c r="T13" i="18"/>
  <c r="K30" i="17"/>
  <c r="K30" i="19" s="1"/>
  <c r="R30" i="18"/>
  <c r="R27" i="18"/>
  <c r="K27" i="17"/>
  <c r="K27" i="19" s="1"/>
  <c r="R24" i="18"/>
  <c r="K24" i="17"/>
  <c r="K24" i="19" s="1"/>
  <c r="U55" i="80"/>
  <c r="K22" i="17"/>
  <c r="K22" i="19" s="1"/>
  <c r="R22" i="18"/>
  <c r="R21" i="18"/>
  <c r="K21" i="17"/>
  <c r="K21" i="19" s="1"/>
  <c r="R19" i="18"/>
  <c r="R18" i="18"/>
  <c r="K18" i="17"/>
  <c r="K18" i="19" s="1"/>
  <c r="K17" i="17"/>
  <c r="K17" i="19" s="1"/>
  <c r="R17" i="18"/>
  <c r="M73" i="80"/>
  <c r="R16" i="16" s="1"/>
  <c r="K14" i="17"/>
  <c r="K14" i="19" s="1"/>
  <c r="R14" i="18"/>
  <c r="R13" i="18"/>
  <c r="N70" i="80"/>
  <c r="S13" i="16" s="1"/>
  <c r="S13" i="18" s="1"/>
  <c r="R12" i="18"/>
  <c r="K12" i="17"/>
  <c r="K12" i="19" s="1"/>
  <c r="M67" i="80"/>
  <c r="R10" i="16" s="1"/>
  <c r="N87" i="81"/>
  <c r="Q30" i="16" s="1"/>
  <c r="Q30" i="18" s="1"/>
  <c r="J28" i="17"/>
  <c r="J28" i="19" s="1"/>
  <c r="P28" i="18"/>
  <c r="U54" i="81"/>
  <c r="P27" i="18"/>
  <c r="J27" i="17"/>
  <c r="J27" i="19" s="1"/>
  <c r="N81" i="81"/>
  <c r="Q24" i="16" s="1"/>
  <c r="M81" i="81"/>
  <c r="P24" i="16" s="1"/>
  <c r="J19" i="17"/>
  <c r="J19" i="19" s="1"/>
  <c r="P18" i="18"/>
  <c r="J18" i="17"/>
  <c r="J18" i="19" s="1"/>
  <c r="J15" i="17"/>
  <c r="J15" i="19" s="1"/>
  <c r="P15" i="18"/>
  <c r="J14" i="17"/>
  <c r="J14" i="19" s="1"/>
  <c r="P14" i="18"/>
  <c r="P12" i="18"/>
  <c r="J12" i="17"/>
  <c r="J12" i="19" s="1"/>
  <c r="J11" i="17"/>
  <c r="J11" i="19" s="1"/>
  <c r="P11" i="18"/>
  <c r="P10" i="18"/>
  <c r="M85" i="83"/>
  <c r="N28" i="16" s="1"/>
  <c r="M82" i="83"/>
  <c r="N25" i="16" s="1"/>
  <c r="I24" i="17"/>
  <c r="I24" i="19" s="1"/>
  <c r="N24" i="18"/>
  <c r="I23" i="17"/>
  <c r="I23" i="19" s="1"/>
  <c r="I20" i="17"/>
  <c r="I20" i="19" s="1"/>
  <c r="N20" i="18"/>
  <c r="N18" i="18"/>
  <c r="N16" i="18"/>
  <c r="N15" i="18"/>
  <c r="I15" i="17"/>
  <c r="I15" i="19" s="1"/>
  <c r="I11" i="17"/>
  <c r="I11" i="19" s="1"/>
  <c r="I10" i="17"/>
  <c r="I10" i="19" s="1"/>
  <c r="N10" i="18"/>
  <c r="L10" i="18"/>
  <c r="H10" i="17"/>
  <c r="H10" i="19" s="1"/>
  <c r="N86" i="79"/>
  <c r="M29" i="16" s="1"/>
  <c r="M29" i="18" s="1"/>
  <c r="M86" i="79"/>
  <c r="L29" i="16" s="1"/>
  <c r="L26" i="18"/>
  <c r="H26" i="17"/>
  <c r="H26" i="19" s="1"/>
  <c r="N76" i="79"/>
  <c r="M19" i="16" s="1"/>
  <c r="M19" i="18" s="1"/>
  <c r="M76" i="79"/>
  <c r="L19" i="16" s="1"/>
  <c r="L18" i="18"/>
  <c r="H18" i="17"/>
  <c r="H18" i="19" s="1"/>
  <c r="L17" i="18"/>
  <c r="L16" i="18"/>
  <c r="H15" i="17"/>
  <c r="H15" i="19" s="1"/>
  <c r="L15" i="18"/>
  <c r="L23" i="18"/>
  <c r="H23" i="17"/>
  <c r="H23" i="19" s="1"/>
  <c r="U54" i="79"/>
  <c r="U55" i="79"/>
  <c r="J12" i="18"/>
  <c r="J29" i="18"/>
  <c r="G29" i="17"/>
  <c r="G29" i="19" s="1"/>
  <c r="G28" i="17"/>
  <c r="G28" i="19" s="1"/>
  <c r="J28" i="18"/>
  <c r="G23" i="17"/>
  <c r="G23" i="19" s="1"/>
  <c r="U55" i="82"/>
  <c r="U54" i="82"/>
  <c r="G21" i="17"/>
  <c r="G21" i="19" s="1"/>
  <c r="G20" i="17"/>
  <c r="G20" i="19" s="1"/>
  <c r="J20" i="18"/>
  <c r="M75" i="82"/>
  <c r="J18" i="16" s="1"/>
  <c r="J17" i="18"/>
  <c r="J15" i="18"/>
  <c r="J16" i="18"/>
  <c r="G16" i="17"/>
  <c r="G16" i="19" s="1"/>
  <c r="G14" i="17"/>
  <c r="G14" i="19" s="1"/>
  <c r="J14" i="18"/>
  <c r="J27" i="18"/>
  <c r="G27" i="17"/>
  <c r="G27" i="19" s="1"/>
  <c r="G13" i="17"/>
  <c r="G13" i="19" s="1"/>
  <c r="J13" i="18"/>
  <c r="J10" i="18"/>
  <c r="M74" i="84"/>
  <c r="H17" i="16" s="1"/>
  <c r="M72" i="84"/>
  <c r="H15" i="16" s="1"/>
  <c r="N73" i="84"/>
  <c r="I16" i="16" s="1"/>
  <c r="M73" i="84"/>
  <c r="H16" i="16" s="1"/>
  <c r="F27" i="17"/>
  <c r="F27" i="19" s="1"/>
  <c r="H25" i="18"/>
  <c r="F25" i="17"/>
  <c r="F25" i="19" s="1"/>
  <c r="N79" i="84"/>
  <c r="I22" i="16" s="1"/>
  <c r="M79" i="84"/>
  <c r="H22" i="16" s="1"/>
  <c r="H10" i="18"/>
  <c r="F10" i="17"/>
  <c r="F10" i="19" s="1"/>
  <c r="C28" i="67"/>
  <c r="C29" i="67" s="1"/>
  <c r="G28" i="67"/>
  <c r="G29" i="67" s="1"/>
  <c r="F14" i="18"/>
  <c r="M84" i="85"/>
  <c r="F27" i="16" s="1"/>
  <c r="D30" i="18"/>
  <c r="N82" i="86"/>
  <c r="E25" i="16" s="1"/>
  <c r="E25" i="18" s="1"/>
  <c r="M82" i="86"/>
  <c r="D25" i="16" s="1"/>
  <c r="S51" i="77"/>
  <c r="S51" i="21"/>
  <c r="S51" i="70"/>
  <c r="S51" i="71"/>
  <c r="S51" i="73"/>
  <c r="S51" i="81"/>
  <c r="S51" i="79"/>
  <c r="S51" i="74"/>
  <c r="S51" i="75"/>
  <c r="S51" i="69"/>
  <c r="S51" i="68"/>
  <c r="S51" i="72"/>
  <c r="S51" i="76"/>
  <c r="S51" i="83"/>
  <c r="S51" i="78"/>
  <c r="S51" i="80"/>
  <c r="S51" i="82"/>
  <c r="S49" i="70"/>
  <c r="S49" i="73"/>
  <c r="S49" i="74"/>
  <c r="S49" i="75"/>
  <c r="S49" i="78"/>
  <c r="S49" i="81"/>
  <c r="S49" i="79"/>
  <c r="S49" i="69"/>
  <c r="S49" i="68"/>
  <c r="S49" i="72"/>
  <c r="S49" i="76"/>
  <c r="S49" i="77"/>
  <c r="S49" i="80"/>
  <c r="S49" i="83"/>
  <c r="S49" i="82"/>
  <c r="S49" i="21"/>
  <c r="S49" i="71"/>
  <c r="S46" i="21"/>
  <c r="S46" i="70"/>
  <c r="S46" i="71"/>
  <c r="S46" i="73"/>
  <c r="S46" i="78"/>
  <c r="S46" i="81"/>
  <c r="S46" i="79"/>
  <c r="S46" i="76"/>
  <c r="S46" i="77"/>
  <c r="S46" i="74"/>
  <c r="S46" i="75"/>
  <c r="S46" i="69"/>
  <c r="S46" i="68"/>
  <c r="S46" i="72"/>
  <c r="S46" i="82"/>
  <c r="S46" i="80"/>
  <c r="S46" i="83"/>
  <c r="B83" i="85"/>
  <c r="B67" i="85"/>
  <c r="S48" i="78"/>
  <c r="S48" i="69"/>
  <c r="S48" i="68"/>
  <c r="S48" i="72"/>
  <c r="S48" i="80"/>
  <c r="S48" i="83"/>
  <c r="S48" i="82"/>
  <c r="S48" i="74"/>
  <c r="S48" i="76"/>
  <c r="S48" i="77"/>
  <c r="S48" i="21"/>
  <c r="S48" i="70"/>
  <c r="S48" i="71"/>
  <c r="S48" i="73"/>
  <c r="S48" i="75"/>
  <c r="S48" i="81"/>
  <c r="S48" i="79"/>
  <c r="V52" i="21"/>
  <c r="V52" i="70"/>
  <c r="V52" i="71"/>
  <c r="V52" i="73"/>
  <c r="V52" i="81"/>
  <c r="V52" i="79"/>
  <c r="V52" i="76"/>
  <c r="V52" i="74"/>
  <c r="V52" i="75"/>
  <c r="V52" i="78"/>
  <c r="V52" i="69"/>
  <c r="V52" i="68"/>
  <c r="V52" i="72"/>
  <c r="V52" i="77"/>
  <c r="V52" i="82"/>
  <c r="V52" i="83"/>
  <c r="V52" i="80"/>
  <c r="S40" i="21"/>
  <c r="S40" i="70"/>
  <c r="S40" i="71"/>
  <c r="S40" i="78"/>
  <c r="S40" i="81"/>
  <c r="S40" i="79"/>
  <c r="S40" i="77"/>
  <c r="S40" i="74"/>
  <c r="S40" i="75"/>
  <c r="S40" i="69"/>
  <c r="S40" i="68"/>
  <c r="S40" i="72"/>
  <c r="S40" i="73"/>
  <c r="S40" i="76"/>
  <c r="S40" i="83"/>
  <c r="S40" i="80"/>
  <c r="S40" i="82"/>
  <c r="S44" i="74"/>
  <c r="S44" i="75"/>
  <c r="S44" i="78"/>
  <c r="S44" i="81"/>
  <c r="S44" i="79"/>
  <c r="S44" i="69"/>
  <c r="S44" i="68"/>
  <c r="S44" i="72"/>
  <c r="S44" i="76"/>
  <c r="S44" i="77"/>
  <c r="S44" i="80"/>
  <c r="S44" i="83"/>
  <c r="S44" i="82"/>
  <c r="S44" i="21"/>
  <c r="S44" i="70"/>
  <c r="S44" i="71"/>
  <c r="S44" i="73"/>
  <c r="S56" i="72"/>
  <c r="S56" i="76"/>
  <c r="S56" i="77"/>
  <c r="S56" i="80"/>
  <c r="S56" i="83"/>
  <c r="S56" i="82"/>
  <c r="S56" i="21"/>
  <c r="S56" i="70"/>
  <c r="S56" i="71"/>
  <c r="S56" i="73"/>
  <c r="S56" i="74"/>
  <c r="S56" i="75"/>
  <c r="S56" i="78"/>
  <c r="S56" i="81"/>
  <c r="S56" i="79"/>
  <c r="S56" i="69"/>
  <c r="S56" i="68"/>
  <c r="V53" i="21"/>
  <c r="V53" i="74"/>
  <c r="V53" i="75"/>
  <c r="V53" i="78"/>
  <c r="V53" i="81"/>
  <c r="V53" i="79"/>
  <c r="V53" i="69"/>
  <c r="V53" i="68"/>
  <c r="V53" i="72"/>
  <c r="V53" i="76"/>
  <c r="V53" i="77"/>
  <c r="V53" i="80"/>
  <c r="V53" i="83"/>
  <c r="V53" i="82"/>
  <c r="V53" i="70"/>
  <c r="V53" i="71"/>
  <c r="V53" i="73"/>
  <c r="D28" i="67"/>
  <c r="D29" i="67" s="1"/>
  <c r="D11" i="18"/>
  <c r="D10" i="18"/>
  <c r="N67" i="86"/>
  <c r="E10" i="16" s="1"/>
  <c r="E10" i="18" s="1"/>
  <c r="B76" i="21"/>
  <c r="R76" i="21" s="1"/>
  <c r="C19" i="16" s="1"/>
  <c r="R22" i="21"/>
  <c r="B49" i="21"/>
  <c r="B87" i="86"/>
  <c r="B63" i="86"/>
  <c r="R36" i="86"/>
  <c r="B67" i="86"/>
  <c r="R13" i="86"/>
  <c r="B40" i="86"/>
  <c r="R14" i="86"/>
  <c r="B68" i="86"/>
  <c r="B41" i="86"/>
  <c r="B63" i="85"/>
  <c r="R21" i="85"/>
  <c r="R17" i="85"/>
  <c r="R27" i="86"/>
  <c r="B80" i="86"/>
  <c r="B54" i="86"/>
  <c r="B79" i="86"/>
  <c r="B52" i="86"/>
  <c r="R25" i="86"/>
  <c r="B45" i="86"/>
  <c r="B72" i="86"/>
  <c r="R18" i="86"/>
  <c r="B70" i="21"/>
  <c r="R70" i="21" s="1"/>
  <c r="C13" i="16" s="1"/>
  <c r="B43" i="21"/>
  <c r="R16" i="21"/>
  <c r="B71" i="86"/>
  <c r="B44" i="86"/>
  <c r="R17" i="86"/>
  <c r="B86" i="21"/>
  <c r="R86" i="21" s="1"/>
  <c r="C29" i="16" s="1"/>
  <c r="R35" i="21"/>
  <c r="B62" i="21"/>
  <c r="B83" i="86"/>
  <c r="B57" i="86"/>
  <c r="R30" i="86"/>
  <c r="B80" i="21"/>
  <c r="R80" i="21" s="1"/>
  <c r="C23" i="16" s="1"/>
  <c r="B54" i="21"/>
  <c r="R27" i="21"/>
  <c r="B59" i="86"/>
  <c r="R32" i="86"/>
  <c r="B84" i="86"/>
  <c r="B74" i="21"/>
  <c r="R74" i="21" s="1"/>
  <c r="C17" i="16" s="1"/>
  <c r="R20" i="21"/>
  <c r="B47" i="21"/>
  <c r="B75" i="86"/>
  <c r="B48" i="86"/>
  <c r="R21" i="86"/>
  <c r="B76" i="86"/>
  <c r="R22" i="86"/>
  <c r="B49" i="86"/>
  <c r="AA30" i="18"/>
  <c r="Z17" i="18"/>
  <c r="Z27" i="18"/>
  <c r="AA10" i="18"/>
  <c r="Z13" i="18"/>
  <c r="AA29" i="18"/>
  <c r="Z18" i="18"/>
  <c r="O18" i="17"/>
  <c r="O18" i="19" s="1"/>
  <c r="N70" i="76"/>
  <c r="AA13" i="16" s="1"/>
  <c r="N76" i="76"/>
  <c r="AA19" i="16" s="1"/>
  <c r="N71" i="76"/>
  <c r="AA14" i="16" s="1"/>
  <c r="M71" i="76"/>
  <c r="Z14" i="16" s="1"/>
  <c r="Z28" i="18"/>
  <c r="O28" i="17"/>
  <c r="O28" i="19" s="1"/>
  <c r="M68" i="76"/>
  <c r="Z11" i="16" s="1"/>
  <c r="N68" i="76"/>
  <c r="AA11" i="16" s="1"/>
  <c r="Z20" i="18"/>
  <c r="O20" i="17"/>
  <c r="O20" i="19" s="1"/>
  <c r="O21" i="17"/>
  <c r="O21" i="19" s="1"/>
  <c r="Z21" i="18"/>
  <c r="AA20" i="18"/>
  <c r="M83" i="76"/>
  <c r="Z26" i="16" s="1"/>
  <c r="N83" i="76"/>
  <c r="AA26" i="16" s="1"/>
  <c r="Z10" i="18"/>
  <c r="O10" i="17"/>
  <c r="O10" i="19" s="1"/>
  <c r="AA21" i="18"/>
  <c r="N74" i="76"/>
  <c r="AA17" i="16" s="1"/>
  <c r="Z24" i="18"/>
  <c r="O24" i="17"/>
  <c r="O24" i="19" s="1"/>
  <c r="N82" i="76"/>
  <c r="AA25" i="16" s="1"/>
  <c r="O25" i="17" s="1"/>
  <c r="O25" i="19" s="1"/>
  <c r="N84" i="76"/>
  <c r="AA27" i="16" s="1"/>
  <c r="M72" i="76"/>
  <c r="Z15" i="16" s="1"/>
  <c r="N72" i="76"/>
  <c r="AA15" i="16" s="1"/>
  <c r="M86" i="76"/>
  <c r="Z29" i="16" s="1"/>
  <c r="M87" i="76"/>
  <c r="Z30" i="16" s="1"/>
  <c r="AA18" i="18"/>
  <c r="Z25" i="18"/>
  <c r="Z23" i="18"/>
  <c r="S51" i="84"/>
  <c r="S51" i="85"/>
  <c r="B71" i="21"/>
  <c r="R71" i="21" s="1"/>
  <c r="C14" i="16" s="1"/>
  <c r="R17" i="21"/>
  <c r="B44" i="21"/>
  <c r="B79" i="21"/>
  <c r="R79" i="21" s="1"/>
  <c r="C22" i="16" s="1"/>
  <c r="R25" i="21"/>
  <c r="B52" i="21"/>
  <c r="S40" i="84"/>
  <c r="S40" i="85"/>
  <c r="S44" i="85"/>
  <c r="S44" i="84"/>
  <c r="B87" i="21"/>
  <c r="R87" i="21" s="1"/>
  <c r="C30" i="16" s="1"/>
  <c r="R36" i="21"/>
  <c r="B63" i="21"/>
  <c r="B83" i="21"/>
  <c r="R83" i="21" s="1"/>
  <c r="C26" i="16" s="1"/>
  <c r="B57" i="21"/>
  <c r="R30" i="21"/>
  <c r="V52" i="84"/>
  <c r="V52" i="85"/>
  <c r="S56" i="85"/>
  <c r="S56" i="84"/>
  <c r="B73" i="21"/>
  <c r="R73" i="21" s="1"/>
  <c r="C16" i="16" s="1"/>
  <c r="B46" i="21"/>
  <c r="R19" i="21"/>
  <c r="B81" i="21"/>
  <c r="R81" i="21" s="1"/>
  <c r="C24" i="16" s="1"/>
  <c r="B55" i="21"/>
  <c r="R28" i="21"/>
  <c r="V53" i="84"/>
  <c r="V53" i="85"/>
  <c r="B67" i="21"/>
  <c r="R67" i="21" s="1"/>
  <c r="C10" i="16" s="1"/>
  <c r="R13" i="21"/>
  <c r="B40" i="21"/>
  <c r="B75" i="21"/>
  <c r="R75" i="21" s="1"/>
  <c r="C18" i="16" s="1"/>
  <c r="R21" i="21"/>
  <c r="B48" i="21"/>
  <c r="S49" i="84"/>
  <c r="S49" i="85"/>
  <c r="B69" i="21"/>
  <c r="R69" i="21" s="1"/>
  <c r="C12" i="16" s="1"/>
  <c r="B42" i="21"/>
  <c r="R15" i="21"/>
  <c r="B77" i="21"/>
  <c r="R77" i="21" s="1"/>
  <c r="C20" i="16" s="1"/>
  <c r="B50" i="21"/>
  <c r="R23" i="21"/>
  <c r="B85" i="21"/>
  <c r="R85" i="21" s="1"/>
  <c r="C28" i="16" s="1"/>
  <c r="R34" i="21"/>
  <c r="B61" i="21"/>
  <c r="S46" i="85"/>
  <c r="S46" i="84"/>
  <c r="D11" i="17" l="1"/>
  <c r="D11" i="19" s="1"/>
  <c r="D20" i="17"/>
  <c r="D20" i="19" s="1"/>
  <c r="D19" i="17"/>
  <c r="D19" i="19" s="1"/>
  <c r="D23" i="17"/>
  <c r="D23" i="19" s="1"/>
  <c r="D23" i="18"/>
  <c r="D30" i="17"/>
  <c r="D30" i="19" s="1"/>
  <c r="D27" i="17"/>
  <c r="D27" i="19" s="1"/>
  <c r="D18" i="17"/>
  <c r="D18" i="19" s="1"/>
  <c r="L28" i="18"/>
  <c r="S15" i="17"/>
  <c r="S15" i="19" s="1"/>
  <c r="AF22" i="18"/>
  <c r="R22" i="17"/>
  <c r="R22" i="19" s="1"/>
  <c r="X21" i="18"/>
  <c r="N21" i="17"/>
  <c r="N21" i="19" s="1"/>
  <c r="I30" i="17"/>
  <c r="I30" i="19" s="1"/>
  <c r="N30" i="18"/>
  <c r="U10" i="17"/>
  <c r="U10" i="19" s="1"/>
  <c r="V23" i="17"/>
  <c r="V23" i="19" s="1"/>
  <c r="R25" i="17"/>
  <c r="R25" i="19" s="1"/>
  <c r="N22" i="18"/>
  <c r="I22" i="17"/>
  <c r="I22" i="19" s="1"/>
  <c r="H13" i="17"/>
  <c r="H13" i="19" s="1"/>
  <c r="L13" i="18"/>
  <c r="E22" i="17"/>
  <c r="E22" i="19" s="1"/>
  <c r="E30" i="17"/>
  <c r="E30" i="19" s="1"/>
  <c r="E14" i="17"/>
  <c r="E14" i="19" s="1"/>
  <c r="F23" i="18"/>
  <c r="F22" i="18"/>
  <c r="E17" i="17"/>
  <c r="E17" i="19" s="1"/>
  <c r="E25" i="17"/>
  <c r="E25" i="19" s="1"/>
  <c r="E11" i="17"/>
  <c r="E11" i="19" s="1"/>
  <c r="E29" i="17"/>
  <c r="E29" i="19" s="1"/>
  <c r="E10" i="17"/>
  <c r="E10" i="19" s="1"/>
  <c r="E24" i="17"/>
  <c r="E24" i="19" s="1"/>
  <c r="M24" i="17"/>
  <c r="M24" i="19" s="1"/>
  <c r="V24" i="18"/>
  <c r="AL21" i="18"/>
  <c r="U21" i="17"/>
  <c r="U21" i="19" s="1"/>
  <c r="Q15" i="17"/>
  <c r="Q15" i="19" s="1"/>
  <c r="P21" i="18"/>
  <c r="J21" i="17"/>
  <c r="J21" i="19" s="1"/>
  <c r="H24" i="17"/>
  <c r="H24" i="19" s="1"/>
  <c r="I13" i="17"/>
  <c r="I13" i="19" s="1"/>
  <c r="G30" i="17"/>
  <c r="G30" i="19" s="1"/>
  <c r="K30" i="18"/>
  <c r="G15" i="17"/>
  <c r="G15" i="19" s="1"/>
  <c r="R18" i="17"/>
  <c r="R18" i="19" s="1"/>
  <c r="T22" i="17"/>
  <c r="T22" i="19" s="1"/>
  <c r="V19" i="17"/>
  <c r="V19" i="19" s="1"/>
  <c r="V30" i="17"/>
  <c r="V30" i="19" s="1"/>
  <c r="W15" i="17"/>
  <c r="W15" i="19" s="1"/>
  <c r="Z21" i="17"/>
  <c r="AD21" i="17" s="1"/>
  <c r="F19" i="17"/>
  <c r="F19" i="19" s="1"/>
  <c r="J24" i="18"/>
  <c r="K28" i="17"/>
  <c r="K28" i="19" s="1"/>
  <c r="U18" i="17"/>
  <c r="U18" i="19" s="1"/>
  <c r="I19" i="17"/>
  <c r="I19" i="19" s="1"/>
  <c r="S19" i="17"/>
  <c r="S19" i="19" s="1"/>
  <c r="O22" i="17"/>
  <c r="O22" i="19" s="1"/>
  <c r="Y27" i="17"/>
  <c r="AC27" i="17" s="1"/>
  <c r="X14" i="18"/>
  <c r="F18" i="17"/>
  <c r="F18" i="19" s="1"/>
  <c r="I14" i="17"/>
  <c r="I14" i="19" s="1"/>
  <c r="F17" i="18"/>
  <c r="R21" i="17"/>
  <c r="R21" i="19" s="1"/>
  <c r="V20" i="17"/>
  <c r="V20" i="19" s="1"/>
  <c r="D28" i="17"/>
  <c r="D28" i="19" s="1"/>
  <c r="AL12" i="18"/>
  <c r="U12" i="17"/>
  <c r="U12" i="19" s="1"/>
  <c r="K19" i="17"/>
  <c r="K19" i="19" s="1"/>
  <c r="T24" i="18"/>
  <c r="Q23" i="17"/>
  <c r="Q23" i="19" s="1"/>
  <c r="R23" i="17"/>
  <c r="R23" i="19" s="1"/>
  <c r="T23" i="17"/>
  <c r="T23" i="19" s="1"/>
  <c r="W30" i="17"/>
  <c r="W30" i="19" s="1"/>
  <c r="U19" i="17"/>
  <c r="U19" i="19" s="1"/>
  <c r="R16" i="17"/>
  <c r="R16" i="19" s="1"/>
  <c r="U15" i="17"/>
  <c r="U15" i="19" s="1"/>
  <c r="G12" i="17"/>
  <c r="G12" i="19" s="1"/>
  <c r="R15" i="18"/>
  <c r="K15" i="17"/>
  <c r="K15" i="19" s="1"/>
  <c r="D21" i="17"/>
  <c r="D21" i="19" s="1"/>
  <c r="T13" i="17"/>
  <c r="T13" i="19" s="1"/>
  <c r="E18" i="17"/>
  <c r="E18" i="19" s="1"/>
  <c r="H17" i="17"/>
  <c r="H17" i="19" s="1"/>
  <c r="L30" i="18"/>
  <c r="I16" i="17"/>
  <c r="I16" i="19" s="1"/>
  <c r="J10" i="17"/>
  <c r="J10" i="19" s="1"/>
  <c r="T17" i="17"/>
  <c r="T17" i="19" s="1"/>
  <c r="W21" i="17"/>
  <c r="W21" i="19" s="1"/>
  <c r="AL20" i="18"/>
  <c r="R20" i="17"/>
  <c r="R20" i="19" s="1"/>
  <c r="D29" i="17"/>
  <c r="D29" i="19" s="1"/>
  <c r="N23" i="17"/>
  <c r="N23" i="19" s="1"/>
  <c r="X23" i="18"/>
  <c r="V22" i="18"/>
  <c r="M22" i="17"/>
  <c r="M22" i="19" s="1"/>
  <c r="V13" i="17"/>
  <c r="V13" i="19" s="1"/>
  <c r="M27" i="17"/>
  <c r="M27" i="19" s="1"/>
  <c r="Z28" i="17"/>
  <c r="AD28" i="17" s="1"/>
  <c r="N10" i="17"/>
  <c r="N10" i="19" s="1"/>
  <c r="D26" i="17"/>
  <c r="D26" i="19" s="1"/>
  <c r="G19" i="17"/>
  <c r="G19" i="19" s="1"/>
  <c r="P23" i="17"/>
  <c r="P23" i="19" s="1"/>
  <c r="I29" i="17"/>
  <c r="I29" i="19" s="1"/>
  <c r="S28" i="17"/>
  <c r="S28" i="19" s="1"/>
  <c r="T16" i="17"/>
  <c r="T16" i="19" s="1"/>
  <c r="AL28" i="18"/>
  <c r="U28" i="17"/>
  <c r="U28" i="19" s="1"/>
  <c r="E12" i="17"/>
  <c r="E12" i="19" s="1"/>
  <c r="D24" i="17"/>
  <c r="D24" i="19" s="1"/>
  <c r="D12" i="17"/>
  <c r="D12" i="19" s="1"/>
  <c r="E19" i="17"/>
  <c r="E19" i="19" s="1"/>
  <c r="E21" i="17"/>
  <c r="E21" i="19" s="1"/>
  <c r="Z29" i="17"/>
  <c r="AD29" i="17" s="1"/>
  <c r="F30" i="17"/>
  <c r="F30" i="19" s="1"/>
  <c r="F14" i="17"/>
  <c r="F14" i="19" s="1"/>
  <c r="F13" i="17"/>
  <c r="F13" i="19" s="1"/>
  <c r="Y21" i="17"/>
  <c r="D13" i="17"/>
  <c r="D13" i="19" s="1"/>
  <c r="D16" i="17"/>
  <c r="D16" i="19" s="1"/>
  <c r="E28" i="17"/>
  <c r="E28" i="19" s="1"/>
  <c r="E26" i="17"/>
  <c r="E26" i="19" s="1"/>
  <c r="E20" i="17"/>
  <c r="E20" i="19" s="1"/>
  <c r="F16" i="18"/>
  <c r="E16" i="17"/>
  <c r="E16" i="19" s="1"/>
  <c r="E13" i="17"/>
  <c r="E13" i="19" s="1"/>
  <c r="F29" i="17"/>
  <c r="F29" i="19" s="1"/>
  <c r="H28" i="18"/>
  <c r="N27" i="18"/>
  <c r="I27" i="17"/>
  <c r="I27" i="19" s="1"/>
  <c r="L27" i="18"/>
  <c r="H27" i="17"/>
  <c r="H27" i="19" s="1"/>
  <c r="H20" i="17"/>
  <c r="H20" i="19" s="1"/>
  <c r="L21" i="18"/>
  <c r="H21" i="17"/>
  <c r="H21" i="19" s="1"/>
  <c r="L14" i="18"/>
  <c r="H14" i="17"/>
  <c r="H14" i="19" s="1"/>
  <c r="F23" i="17"/>
  <c r="F23" i="19" s="1"/>
  <c r="F20" i="17"/>
  <c r="F20" i="19" s="1"/>
  <c r="H20" i="18"/>
  <c r="F12" i="17"/>
  <c r="F12" i="19" s="1"/>
  <c r="F11" i="17"/>
  <c r="F11" i="19" s="1"/>
  <c r="F21" i="17"/>
  <c r="F21" i="19" s="1"/>
  <c r="H21" i="18"/>
  <c r="D15" i="17"/>
  <c r="D15" i="19" s="1"/>
  <c r="D22" i="17"/>
  <c r="D22" i="19" s="1"/>
  <c r="Y12" i="17"/>
  <c r="AC12" i="17" s="1"/>
  <c r="E15" i="17"/>
  <c r="E15" i="19" s="1"/>
  <c r="D14" i="17"/>
  <c r="D14" i="19" s="1"/>
  <c r="D17" i="17"/>
  <c r="D17" i="19" s="1"/>
  <c r="V29" i="17"/>
  <c r="V29" i="19" s="1"/>
  <c r="AN26" i="18"/>
  <c r="V26" i="17"/>
  <c r="V26" i="19" s="1"/>
  <c r="AN15" i="18"/>
  <c r="V18" i="17"/>
  <c r="V18" i="19" s="1"/>
  <c r="AN11" i="18"/>
  <c r="V11" i="17"/>
  <c r="V11" i="19" s="1"/>
  <c r="W25" i="17"/>
  <c r="W25" i="19" s="1"/>
  <c r="Z23" i="17"/>
  <c r="AD23" i="17" s="1"/>
  <c r="Y18" i="17"/>
  <c r="AC18" i="17" s="1"/>
  <c r="W18" i="17"/>
  <c r="W18" i="19" s="1"/>
  <c r="Y13" i="17"/>
  <c r="AC13" i="17" s="1"/>
  <c r="L18" i="17"/>
  <c r="L18" i="19" s="1"/>
  <c r="L30" i="17"/>
  <c r="L30" i="19" s="1"/>
  <c r="L22" i="17"/>
  <c r="L22" i="19" s="1"/>
  <c r="T22" i="18"/>
  <c r="T20" i="18"/>
  <c r="L20" i="17"/>
  <c r="L20" i="19" s="1"/>
  <c r="L19" i="17"/>
  <c r="L19" i="19" s="1"/>
  <c r="T19" i="18"/>
  <c r="T11" i="18"/>
  <c r="L11" i="17"/>
  <c r="L11" i="19" s="1"/>
  <c r="Y10" i="17"/>
  <c r="AC10" i="17" s="1"/>
  <c r="T10" i="18"/>
  <c r="L10" i="17"/>
  <c r="L10" i="19" s="1"/>
  <c r="U26" i="17"/>
  <c r="U26" i="19" s="1"/>
  <c r="T28" i="17"/>
  <c r="T28" i="19" s="1"/>
  <c r="T27" i="17"/>
  <c r="T27" i="19" s="1"/>
  <c r="T21" i="17"/>
  <c r="T21" i="19" s="1"/>
  <c r="T20" i="17"/>
  <c r="T20" i="19" s="1"/>
  <c r="T12" i="17"/>
  <c r="T12" i="19" s="1"/>
  <c r="AJ12" i="18"/>
  <c r="T18" i="17"/>
  <c r="T18" i="19" s="1"/>
  <c r="Z20" i="17"/>
  <c r="AD20" i="17" s="1"/>
  <c r="S29" i="17"/>
  <c r="S29" i="19" s="1"/>
  <c r="Y20" i="17"/>
  <c r="S20" i="17"/>
  <c r="S20" i="19" s="1"/>
  <c r="R12" i="17"/>
  <c r="R12" i="19" s="1"/>
  <c r="R11" i="17"/>
  <c r="R11" i="19" s="1"/>
  <c r="AF11" i="18"/>
  <c r="W17" i="17"/>
  <c r="W17" i="19" s="1"/>
  <c r="W19" i="17"/>
  <c r="W19" i="19" s="1"/>
  <c r="Y19" i="17"/>
  <c r="AC19" i="17" s="1"/>
  <c r="W13" i="17"/>
  <c r="W13" i="19" s="1"/>
  <c r="Y23" i="17"/>
  <c r="AC23" i="17" s="1"/>
  <c r="Y17" i="17"/>
  <c r="AC17" i="17" s="1"/>
  <c r="AP17" i="18"/>
  <c r="O23" i="17"/>
  <c r="O23" i="19" s="1"/>
  <c r="AL27" i="18"/>
  <c r="U27" i="17"/>
  <c r="U27" i="19" s="1"/>
  <c r="AL25" i="18"/>
  <c r="U25" i="17"/>
  <c r="U25" i="19" s="1"/>
  <c r="U24" i="17"/>
  <c r="U24" i="19" s="1"/>
  <c r="Y24" i="17"/>
  <c r="AC24" i="17" s="1"/>
  <c r="W11" i="17"/>
  <c r="W11" i="19" s="1"/>
  <c r="AP11" i="18"/>
  <c r="W23" i="17"/>
  <c r="W23" i="19" s="1"/>
  <c r="AP23" i="18"/>
  <c r="W16" i="17"/>
  <c r="W16" i="19" s="1"/>
  <c r="AP16" i="18"/>
  <c r="W26" i="17"/>
  <c r="W26" i="19" s="1"/>
  <c r="AP26" i="18"/>
  <c r="W24" i="17"/>
  <c r="W24" i="19" s="1"/>
  <c r="AP24" i="18"/>
  <c r="W10" i="17"/>
  <c r="W10" i="19" s="1"/>
  <c r="AP10" i="18"/>
  <c r="W14" i="17"/>
  <c r="W14" i="19" s="1"/>
  <c r="AP14" i="18"/>
  <c r="V28" i="17"/>
  <c r="V28" i="19" s="1"/>
  <c r="AN28" i="18"/>
  <c r="V24" i="17"/>
  <c r="V24" i="19" s="1"/>
  <c r="AN10" i="18"/>
  <c r="V10" i="17"/>
  <c r="V10" i="19" s="1"/>
  <c r="AJ30" i="18"/>
  <c r="T30" i="17"/>
  <c r="T30" i="19" s="1"/>
  <c r="T15" i="17"/>
  <c r="T15" i="19" s="1"/>
  <c r="T25" i="17"/>
  <c r="T25" i="19" s="1"/>
  <c r="AJ25" i="18"/>
  <c r="T24" i="17"/>
  <c r="T24" i="19" s="1"/>
  <c r="AJ24" i="18"/>
  <c r="T11" i="17"/>
  <c r="T11" i="19" s="1"/>
  <c r="AJ11" i="18"/>
  <c r="S25" i="17"/>
  <c r="S25" i="19" s="1"/>
  <c r="S14" i="17"/>
  <c r="S14" i="19" s="1"/>
  <c r="S10" i="17"/>
  <c r="S10" i="19" s="1"/>
  <c r="S22" i="17"/>
  <c r="S22" i="19" s="1"/>
  <c r="AH22" i="18"/>
  <c r="R26" i="17"/>
  <c r="R26" i="19" s="1"/>
  <c r="R29" i="17"/>
  <c r="R29" i="19" s="1"/>
  <c r="R30" i="17"/>
  <c r="R30" i="19" s="1"/>
  <c r="AD16" i="18"/>
  <c r="Q16" i="17"/>
  <c r="Q16" i="19" s="1"/>
  <c r="Y25" i="17"/>
  <c r="AC25" i="17" s="1"/>
  <c r="M28" i="17"/>
  <c r="M28" i="19" s="1"/>
  <c r="Z18" i="17"/>
  <c r="AD18" i="17" s="1"/>
  <c r="Y28" i="17"/>
  <c r="F26" i="17"/>
  <c r="F26" i="19" s="1"/>
  <c r="M13" i="17"/>
  <c r="M13" i="19" s="1"/>
  <c r="V21" i="18"/>
  <c r="M21" i="17"/>
  <c r="M21" i="19" s="1"/>
  <c r="V18" i="18"/>
  <c r="M18" i="17"/>
  <c r="M18" i="19" s="1"/>
  <c r="M16" i="17"/>
  <c r="M16" i="19" s="1"/>
  <c r="V16" i="18"/>
  <c r="V10" i="18"/>
  <c r="M10" i="17"/>
  <c r="M10" i="19" s="1"/>
  <c r="Q11" i="17"/>
  <c r="Q11" i="19" s="1"/>
  <c r="AD11" i="18"/>
  <c r="Q26" i="17"/>
  <c r="Q26" i="19" s="1"/>
  <c r="AD26" i="18"/>
  <c r="Q17" i="17"/>
  <c r="Q17" i="19" s="1"/>
  <c r="Q14" i="17"/>
  <c r="Q14" i="19" s="1"/>
  <c r="Q22" i="17"/>
  <c r="Q22" i="19" s="1"/>
  <c r="AC12" i="18"/>
  <c r="Z12" i="17"/>
  <c r="AD12" i="17" s="1"/>
  <c r="P12" i="17"/>
  <c r="P12" i="19" s="1"/>
  <c r="P13" i="17"/>
  <c r="P13" i="19" s="1"/>
  <c r="P30" i="17"/>
  <c r="P30" i="19" s="1"/>
  <c r="P26" i="17"/>
  <c r="P26" i="19" s="1"/>
  <c r="Z12" i="18"/>
  <c r="O12" i="17"/>
  <c r="O12" i="19" s="1"/>
  <c r="N13" i="17"/>
  <c r="N13" i="19" s="1"/>
  <c r="X13" i="18"/>
  <c r="N16" i="17"/>
  <c r="N16" i="19" s="1"/>
  <c r="X16" i="18"/>
  <c r="N25" i="17"/>
  <c r="N25" i="19" s="1"/>
  <c r="L25" i="17"/>
  <c r="L25" i="19" s="1"/>
  <c r="K16" i="17"/>
  <c r="K16" i="19" s="1"/>
  <c r="R16" i="18"/>
  <c r="K13" i="17"/>
  <c r="K13" i="19" s="1"/>
  <c r="K10" i="17"/>
  <c r="K10" i="19" s="1"/>
  <c r="R10" i="18"/>
  <c r="Z30" i="17"/>
  <c r="AD30" i="17" s="1"/>
  <c r="J30" i="17"/>
  <c r="J30" i="19" s="1"/>
  <c r="J24" i="17"/>
  <c r="J24" i="19" s="1"/>
  <c r="P24" i="18"/>
  <c r="Q24" i="18"/>
  <c r="Z24" i="17"/>
  <c r="AD24" i="17" s="1"/>
  <c r="I28" i="17"/>
  <c r="I28" i="19" s="1"/>
  <c r="N28" i="18"/>
  <c r="N25" i="18"/>
  <c r="I25" i="17"/>
  <c r="I25" i="19" s="1"/>
  <c r="L29" i="18"/>
  <c r="H29" i="17"/>
  <c r="H29" i="19" s="1"/>
  <c r="L19" i="18"/>
  <c r="H19" i="17"/>
  <c r="H19" i="19" s="1"/>
  <c r="G18" i="17"/>
  <c r="G18" i="19" s="1"/>
  <c r="J18" i="18"/>
  <c r="H17" i="18"/>
  <c r="F17" i="17"/>
  <c r="F17" i="19" s="1"/>
  <c r="H15" i="18"/>
  <c r="F15" i="17"/>
  <c r="F15" i="19" s="1"/>
  <c r="H16" i="18"/>
  <c r="F16" i="17"/>
  <c r="F16" i="19" s="1"/>
  <c r="Y16" i="17"/>
  <c r="I16" i="18"/>
  <c r="Z16" i="17"/>
  <c r="AD16" i="17" s="1"/>
  <c r="H22" i="18"/>
  <c r="F22" i="17"/>
  <c r="F22" i="19" s="1"/>
  <c r="Y22" i="17"/>
  <c r="I22" i="18"/>
  <c r="Z22" i="17"/>
  <c r="AD22" i="17" s="1"/>
  <c r="F27" i="18"/>
  <c r="E27" i="17"/>
  <c r="E27" i="19" s="1"/>
  <c r="D25" i="17"/>
  <c r="D25" i="19" s="1"/>
  <c r="D25" i="18"/>
  <c r="Z10" i="17"/>
  <c r="AD10" i="17" s="1"/>
  <c r="D10" i="17"/>
  <c r="D10" i="19" s="1"/>
  <c r="C17" i="19"/>
  <c r="C17" i="18" s="1"/>
  <c r="C17" i="20" s="1"/>
  <c r="C17" i="17"/>
  <c r="C29" i="19"/>
  <c r="C29" i="18" s="1"/>
  <c r="C29" i="20" s="1"/>
  <c r="C29" i="17"/>
  <c r="C23" i="17"/>
  <c r="C23" i="19"/>
  <c r="C23" i="18" s="1"/>
  <c r="C23" i="20" s="1"/>
  <c r="C13" i="19"/>
  <c r="C13" i="18" s="1"/>
  <c r="C13" i="20" s="1"/>
  <c r="C13" i="17"/>
  <c r="C19" i="17"/>
  <c r="C19" i="19"/>
  <c r="C19" i="18" s="1"/>
  <c r="C19" i="20" s="1"/>
  <c r="Y15" i="17"/>
  <c r="Z15" i="18"/>
  <c r="O15" i="17"/>
  <c r="O15" i="19" s="1"/>
  <c r="Z30" i="18"/>
  <c r="O30" i="17"/>
  <c r="O30" i="19" s="1"/>
  <c r="Y30" i="17"/>
  <c r="AA27" i="18"/>
  <c r="Z27" i="17"/>
  <c r="AD27" i="17" s="1"/>
  <c r="Z26" i="18"/>
  <c r="O26" i="17"/>
  <c r="O26" i="19" s="1"/>
  <c r="Y26" i="17"/>
  <c r="Z11" i="17"/>
  <c r="AD11" i="17" s="1"/>
  <c r="AA11" i="18"/>
  <c r="Z19" i="17"/>
  <c r="AD19" i="17" s="1"/>
  <c r="AA19" i="18"/>
  <c r="Z29" i="18"/>
  <c r="O29" i="17"/>
  <c r="O29" i="19" s="1"/>
  <c r="Y29" i="17"/>
  <c r="AA25" i="18"/>
  <c r="Z25" i="17"/>
  <c r="AD25" i="17" s="1"/>
  <c r="Z17" i="17"/>
  <c r="AD17" i="17" s="1"/>
  <c r="AA17" i="18"/>
  <c r="Y11" i="17"/>
  <c r="Z11" i="18"/>
  <c r="O11" i="17"/>
  <c r="O11" i="19" s="1"/>
  <c r="Z14" i="18"/>
  <c r="O14" i="17"/>
  <c r="O14" i="19" s="1"/>
  <c r="Y14" i="17"/>
  <c r="Z13" i="17"/>
  <c r="AD13" i="17" s="1"/>
  <c r="AA13" i="18"/>
  <c r="AS13" i="18" s="1"/>
  <c r="O13" i="17"/>
  <c r="O13" i="19" s="1"/>
  <c r="O17" i="17"/>
  <c r="O17" i="19" s="1"/>
  <c r="Z15" i="17"/>
  <c r="AD15" i="17" s="1"/>
  <c r="AA15" i="18"/>
  <c r="AA14" i="18"/>
  <c r="Z14" i="17"/>
  <c r="AD14" i="17" s="1"/>
  <c r="O27" i="17"/>
  <c r="O27" i="19" s="1"/>
  <c r="O19" i="17"/>
  <c r="O19" i="19" s="1"/>
  <c r="Z26" i="17"/>
  <c r="AD26" i="17" s="1"/>
  <c r="AA26" i="18"/>
  <c r="C10" i="19"/>
  <c r="C10" i="18" s="1"/>
  <c r="C10" i="20" s="1"/>
  <c r="C10" i="17"/>
  <c r="C14" i="19"/>
  <c r="C14" i="18" s="1"/>
  <c r="C14" i="20" s="1"/>
  <c r="C14" i="17"/>
  <c r="C18" i="19"/>
  <c r="C18" i="18" s="1"/>
  <c r="C18" i="20" s="1"/>
  <c r="C18" i="17"/>
  <c r="C24" i="19"/>
  <c r="C24" i="18" s="1"/>
  <c r="C24" i="20" s="1"/>
  <c r="C24" i="17"/>
  <c r="C22" i="19"/>
  <c r="C22" i="18" s="1"/>
  <c r="C22" i="20" s="1"/>
  <c r="C22" i="17"/>
  <c r="C26" i="19"/>
  <c r="C26" i="18" s="1"/>
  <c r="C26" i="20" s="1"/>
  <c r="C26" i="17"/>
  <c r="C12" i="19"/>
  <c r="C12" i="18" s="1"/>
  <c r="C12" i="20" s="1"/>
  <c r="C12" i="17"/>
  <c r="C16" i="19"/>
  <c r="C16" i="18" s="1"/>
  <c r="C16" i="20" s="1"/>
  <c r="C16" i="17"/>
  <c r="C20" i="19"/>
  <c r="C20" i="18" s="1"/>
  <c r="C20" i="20" s="1"/>
  <c r="C20" i="17"/>
  <c r="C28" i="19"/>
  <c r="C28" i="18" s="1"/>
  <c r="C28" i="20" s="1"/>
  <c r="C28" i="17"/>
  <c r="C30" i="19"/>
  <c r="C30" i="18" s="1"/>
  <c r="C30" i="20" s="1"/>
  <c r="C30" i="17"/>
  <c r="AS20" i="18" l="1"/>
  <c r="AS18" i="18"/>
  <c r="AS28" i="18"/>
  <c r="AS23" i="18"/>
  <c r="AA28" i="17"/>
  <c r="AE28" i="17" s="1"/>
  <c r="AS12" i="18"/>
  <c r="Y13" i="19"/>
  <c r="Y23" i="19"/>
  <c r="AA21" i="17"/>
  <c r="AE21" i="17" s="1"/>
  <c r="Y20" i="19"/>
  <c r="AC21" i="17"/>
  <c r="AS21" i="18"/>
  <c r="AS19" i="18"/>
  <c r="AS27" i="18"/>
  <c r="AA20" i="17"/>
  <c r="AA20" i="19" s="1"/>
  <c r="AS30" i="18"/>
  <c r="Y21" i="19"/>
  <c r="AC20" i="17"/>
  <c r="Y29" i="19"/>
  <c r="AS10" i="18"/>
  <c r="AA23" i="17"/>
  <c r="AE23" i="17" s="1"/>
  <c r="Y14" i="19"/>
  <c r="Y27" i="19"/>
  <c r="Y11" i="19"/>
  <c r="Y24" i="19"/>
  <c r="Y22" i="19"/>
  <c r="AA18" i="17"/>
  <c r="AE18" i="17" s="1"/>
  <c r="Y30" i="19"/>
  <c r="Y16" i="19"/>
  <c r="AC28" i="17"/>
  <c r="Y28" i="19"/>
  <c r="Y18" i="19"/>
  <c r="Y10" i="19"/>
  <c r="AS24" i="18"/>
  <c r="Y19" i="19"/>
  <c r="Y26" i="19"/>
  <c r="AS17" i="18"/>
  <c r="Y17" i="19"/>
  <c r="Y15" i="19"/>
  <c r="AS11" i="18"/>
  <c r="Y12" i="19"/>
  <c r="AA12" i="17"/>
  <c r="AS25" i="18"/>
  <c r="Y25" i="19"/>
  <c r="AA24" i="17"/>
  <c r="AA24" i="19" s="1"/>
  <c r="AS29" i="18"/>
  <c r="AA16" i="17"/>
  <c r="AC16" i="17"/>
  <c r="AS16" i="18"/>
  <c r="AS22" i="18"/>
  <c r="AC22" i="17"/>
  <c r="AA22" i="17"/>
  <c r="AA10" i="17"/>
  <c r="AE10" i="17" s="1"/>
  <c r="AA19" i="17"/>
  <c r="AE19" i="17" s="1"/>
  <c r="AA27" i="17"/>
  <c r="AA27" i="19" s="1"/>
  <c r="AA25" i="17"/>
  <c r="AA25" i="19" s="1"/>
  <c r="AA13" i="17"/>
  <c r="AA11" i="17"/>
  <c r="AC11" i="17"/>
  <c r="AS26" i="18"/>
  <c r="AA17" i="17"/>
  <c r="AS14" i="18"/>
  <c r="AA29" i="17"/>
  <c r="AC29" i="17"/>
  <c r="AA26" i="17"/>
  <c r="AC26" i="17"/>
  <c r="AS15" i="18"/>
  <c r="AA14" i="17"/>
  <c r="AC14" i="17"/>
  <c r="AC30" i="17"/>
  <c r="AA30" i="17"/>
  <c r="AC15" i="17"/>
  <c r="AA15" i="17"/>
  <c r="AA28" i="19" l="1"/>
  <c r="I28" i="20" s="1"/>
  <c r="AA21" i="19"/>
  <c r="I21" i="20" s="1"/>
  <c r="AA18" i="19"/>
  <c r="I18" i="20" s="1"/>
  <c r="G20" i="20"/>
  <c r="J20" i="20" s="1"/>
  <c r="AE20" i="17"/>
  <c r="I27" i="20"/>
  <c r="G25" i="20"/>
  <c r="J25" i="20" s="1"/>
  <c r="AA23" i="19"/>
  <c r="G23" i="20" s="1"/>
  <c r="J23" i="20" s="1"/>
  <c r="AE12" i="17"/>
  <c r="AA12" i="19"/>
  <c r="AE24" i="17"/>
  <c r="AA19" i="19"/>
  <c r="I19" i="20" s="1"/>
  <c r="AE27" i="17"/>
  <c r="AA16" i="19"/>
  <c r="G16" i="20" s="1"/>
  <c r="J16" i="20" s="1"/>
  <c r="AE16" i="17"/>
  <c r="AE22" i="17"/>
  <c r="AA22" i="19"/>
  <c r="AA10" i="19"/>
  <c r="G10" i="20" s="1"/>
  <c r="J10" i="20" s="1"/>
  <c r="G27" i="20"/>
  <c r="J27" i="20" s="1"/>
  <c r="AE25" i="17"/>
  <c r="AE26" i="17"/>
  <c r="AA26" i="19"/>
  <c r="G26" i="20" s="1"/>
  <c r="J26" i="20" s="1"/>
  <c r="G24" i="20"/>
  <c r="J24" i="20" s="1"/>
  <c r="I24" i="20"/>
  <c r="AE11" i="17"/>
  <c r="AA11" i="19"/>
  <c r="AE13" i="17"/>
  <c r="AA13" i="19"/>
  <c r="AE15" i="17"/>
  <c r="AA15" i="19"/>
  <c r="G15" i="20" s="1"/>
  <c r="J15" i="20" s="1"/>
  <c r="AA30" i="19"/>
  <c r="AE30" i="17"/>
  <c r="AA14" i="19"/>
  <c r="G14" i="20" s="1"/>
  <c r="J14" i="20" s="1"/>
  <c r="AE14" i="17"/>
  <c r="I25" i="20"/>
  <c r="AE17" i="17"/>
  <c r="AA17" i="19"/>
  <c r="I20" i="20"/>
  <c r="AA29" i="19"/>
  <c r="AE29" i="17"/>
  <c r="G28" i="20" l="1"/>
  <c r="J28" i="20" s="1"/>
  <c r="G18" i="20"/>
  <c r="J18" i="20" s="1"/>
  <c r="G21" i="20"/>
  <c r="J21" i="20" s="1"/>
  <c r="H20" i="20"/>
  <c r="K20" i="20" s="1"/>
  <c r="M20" i="20" s="1"/>
  <c r="N20" i="20" s="1"/>
  <c r="H25" i="20"/>
  <c r="K25" i="20" s="1"/>
  <c r="M25" i="20" s="1"/>
  <c r="N25" i="20" s="1"/>
  <c r="I23" i="20"/>
  <c r="H23" i="20" s="1"/>
  <c r="K23" i="20" s="1"/>
  <c r="M23" i="20" s="1"/>
  <c r="N23" i="20" s="1"/>
  <c r="I12" i="20"/>
  <c r="G12" i="20"/>
  <c r="J12" i="20" s="1"/>
  <c r="G19" i="20"/>
  <c r="J19" i="20" s="1"/>
  <c r="I26" i="20"/>
  <c r="H26" i="20" s="1"/>
  <c r="K26" i="20" s="1"/>
  <c r="M26" i="20" s="1"/>
  <c r="N26" i="20" s="1"/>
  <c r="I10" i="20"/>
  <c r="H10" i="20" s="1"/>
  <c r="K10" i="20" s="1"/>
  <c r="M10" i="20" s="1"/>
  <c r="N10" i="20" s="1"/>
  <c r="I16" i="20"/>
  <c r="H16" i="20" s="1"/>
  <c r="K16" i="20" s="1"/>
  <c r="M16" i="20" s="1"/>
  <c r="N16" i="20" s="1"/>
  <c r="H24" i="20"/>
  <c r="K24" i="20" s="1"/>
  <c r="M24" i="20" s="1"/>
  <c r="N24" i="20" s="1"/>
  <c r="G22" i="20"/>
  <c r="J22" i="20" s="1"/>
  <c r="I22" i="20"/>
  <c r="I15" i="20"/>
  <c r="H15" i="20" s="1"/>
  <c r="K15" i="20" s="1"/>
  <c r="M15" i="20" s="1"/>
  <c r="N15" i="20" s="1"/>
  <c r="H27" i="20"/>
  <c r="K27" i="20" s="1"/>
  <c r="M27" i="20" s="1"/>
  <c r="N27" i="20" s="1"/>
  <c r="I14" i="20"/>
  <c r="H14" i="20" s="1"/>
  <c r="K14" i="20" s="1"/>
  <c r="M14" i="20" s="1"/>
  <c r="N14" i="20" s="1"/>
  <c r="I11" i="20"/>
  <c r="G11" i="20"/>
  <c r="J11" i="20" s="1"/>
  <c r="G30" i="20"/>
  <c r="J30" i="20" s="1"/>
  <c r="I30" i="20"/>
  <c r="I17" i="20"/>
  <c r="G17" i="20"/>
  <c r="J17" i="20" s="1"/>
  <c r="G29" i="20"/>
  <c r="J29" i="20" s="1"/>
  <c r="I29" i="20"/>
  <c r="I13" i="20"/>
  <c r="G13" i="20"/>
  <c r="J13" i="20" s="1"/>
  <c r="H28" i="20" l="1"/>
  <c r="K28" i="20" s="1"/>
  <c r="M28" i="20" s="1"/>
  <c r="N28" i="20" s="1"/>
  <c r="H18" i="20"/>
  <c r="K18" i="20" s="1"/>
  <c r="M18" i="20" s="1"/>
  <c r="N18" i="20" s="1"/>
  <c r="H21" i="20"/>
  <c r="K21" i="20" s="1"/>
  <c r="M21" i="20" s="1"/>
  <c r="N21" i="20" s="1"/>
  <c r="O20" i="20"/>
  <c r="O25" i="20"/>
  <c r="H12" i="20"/>
  <c r="K12" i="20" s="1"/>
  <c r="M12" i="20" s="1"/>
  <c r="N12" i="20" s="1"/>
  <c r="O26" i="20"/>
  <c r="O24" i="20"/>
  <c r="H19" i="20"/>
  <c r="K19" i="20" s="1"/>
  <c r="M19" i="20" s="1"/>
  <c r="N19" i="20" s="1"/>
  <c r="H22" i="20"/>
  <c r="K22" i="20" s="1"/>
  <c r="M22" i="20" s="1"/>
  <c r="N22" i="20" s="1"/>
  <c r="O16" i="20"/>
  <c r="O15" i="20"/>
  <c r="O27" i="20"/>
  <c r="O14" i="20"/>
  <c r="O23" i="20"/>
  <c r="O10" i="20"/>
  <c r="H29" i="20"/>
  <c r="K29" i="20" s="1"/>
  <c r="M29" i="20" s="1"/>
  <c r="N29" i="20" s="1"/>
  <c r="H30" i="20"/>
  <c r="K30" i="20" s="1"/>
  <c r="M30" i="20" s="1"/>
  <c r="N30" i="20" s="1"/>
  <c r="H13" i="20"/>
  <c r="K13" i="20" s="1"/>
  <c r="M13" i="20" s="1"/>
  <c r="N13" i="20" s="1"/>
  <c r="H17" i="20"/>
  <c r="K17" i="20" s="1"/>
  <c r="M17" i="20" s="1"/>
  <c r="N17" i="20" s="1"/>
  <c r="H11" i="20"/>
  <c r="K11" i="20" s="1"/>
  <c r="M11" i="20" s="1"/>
  <c r="N11" i="20" s="1"/>
  <c r="O28" i="20" l="1"/>
  <c r="O18" i="20"/>
  <c r="O21" i="20"/>
  <c r="O12" i="20"/>
  <c r="O30" i="20"/>
  <c r="O19" i="20"/>
  <c r="O22" i="20"/>
  <c r="O13" i="20"/>
  <c r="O11" i="20"/>
  <c r="O17" i="20"/>
  <c r="O29" i="20"/>
</calcChain>
</file>

<file path=xl/sharedStrings.xml><?xml version="1.0" encoding="utf-8"?>
<sst xmlns="http://schemas.openxmlformats.org/spreadsheetml/2006/main" count="720" uniqueCount="82">
  <si>
    <t>S1</t>
  </si>
  <si>
    <t>S2</t>
  </si>
  <si>
    <t>S3</t>
  </si>
  <si>
    <t>S4</t>
  </si>
  <si>
    <t>S5</t>
  </si>
  <si>
    <t>S6</t>
  </si>
  <si>
    <t>S7</t>
  </si>
  <si>
    <t>S8</t>
  </si>
  <si>
    <t>S9</t>
  </si>
  <si>
    <t>S10</t>
  </si>
  <si>
    <t>S11</t>
  </si>
  <si>
    <t>S12</t>
  </si>
  <si>
    <t>S13</t>
  </si>
  <si>
    <t>S14</t>
  </si>
  <si>
    <t>S15</t>
  </si>
  <si>
    <t>S16</t>
  </si>
  <si>
    <t>S17</t>
  </si>
  <si>
    <t>S18</t>
  </si>
  <si>
    <t>S19</t>
  </si>
  <si>
    <t>S20</t>
  </si>
  <si>
    <t>total</t>
  </si>
  <si>
    <t>%</t>
  </si>
  <si>
    <t>intra</t>
  </si>
  <si>
    <t>error</t>
  </si>
  <si>
    <t>ICC</t>
  </si>
  <si>
    <t>kg</t>
  </si>
  <si>
    <t>cm</t>
  </si>
  <si>
    <t>mm</t>
  </si>
  <si>
    <t xml:space="preserve">mm  </t>
  </si>
  <si>
    <t>(Heath-Carter)</t>
  </si>
  <si>
    <t xml:space="preserve">inter </t>
  </si>
  <si>
    <t>1ª Vs 2ª</t>
  </si>
  <si>
    <t>1ªVs 3ª</t>
  </si>
  <si>
    <t>2ª Vs 3ª</t>
  </si>
  <si>
    <t>Nº ítems</t>
  </si>
  <si>
    <t>TOTAL</t>
  </si>
  <si>
    <t>TOTAL (%)</t>
  </si>
  <si>
    <t>kg/m2</t>
  </si>
  <si>
    <t>(Slaughter)</t>
  </si>
  <si>
    <t>(Lee)</t>
  </si>
  <si>
    <t>(Poortmans)</t>
  </si>
  <si>
    <t>(Rocha)</t>
  </si>
  <si>
    <t>English / Inglés</t>
  </si>
  <si>
    <t>Spanish / Español</t>
  </si>
  <si>
    <t>Select your language in the drop-down in the green area / Seleccione su idioma en el desplegable del área verde</t>
  </si>
  <si>
    <t xml:space="preserve">´+ </t>
  </si>
  <si>
    <t>Perú</t>
  </si>
  <si>
    <t>Joaquin</t>
  </si>
  <si>
    <t>Camborda</t>
  </si>
  <si>
    <t>Lorena</t>
  </si>
  <si>
    <t>Chirinos</t>
  </si>
  <si>
    <t>Torres</t>
  </si>
  <si>
    <t xml:space="preserve">Drago </t>
  </si>
  <si>
    <t>Tomas</t>
  </si>
  <si>
    <t>Aramburú</t>
  </si>
  <si>
    <t>Nicolas</t>
  </si>
  <si>
    <t>Luna</t>
  </si>
  <si>
    <t>Triathlon</t>
  </si>
  <si>
    <t xml:space="preserve">Nicolas </t>
  </si>
  <si>
    <t>Gamio</t>
  </si>
  <si>
    <t xml:space="preserve">Jack </t>
  </si>
  <si>
    <t>Allan</t>
  </si>
  <si>
    <t>gym</t>
  </si>
  <si>
    <t>Gym</t>
  </si>
  <si>
    <t>mtb/surf</t>
  </si>
  <si>
    <t>Natural Bodybuilding</t>
  </si>
  <si>
    <t>Oscar</t>
  </si>
  <si>
    <t>Rodriguez</t>
  </si>
  <si>
    <t>Franjo</t>
  </si>
  <si>
    <t>Jennifer</t>
  </si>
  <si>
    <t>Ani</t>
  </si>
  <si>
    <t>Arroyo</t>
  </si>
  <si>
    <t>Filippo</t>
  </si>
  <si>
    <t>Storino</t>
  </si>
  <si>
    <t>Masculino</t>
  </si>
  <si>
    <t xml:space="preserve">Andrea </t>
  </si>
  <si>
    <t>Weinberger</t>
  </si>
  <si>
    <t xml:space="preserve">Chiara </t>
  </si>
  <si>
    <t>Parodi</t>
  </si>
  <si>
    <t>Peru</t>
  </si>
  <si>
    <t xml:space="preserve">STEPHAN </t>
  </si>
  <si>
    <t>BREADT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</si>
</sst>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m\ d\,\ yyyy"/>
    <numFmt numFmtId="167" formatCode="d\-mmm\-yyyy"/>
    <numFmt numFmtId="168" formatCode="0.0_)"/>
  </numFmts>
  <fonts count="49">
    <font>
      <sz val="10"/>
      <name val="Arial"/>
    </font>
    <font>
      <sz val="10"/>
      <name val="Arial"/>
      <family val="2"/>
    </font>
    <font>
      <b/>
      <sz val="10"/>
      <name val="Arial"/>
      <family val="2"/>
    </font>
    <font>
      <b/>
      <sz val="12"/>
      <name val="Arial"/>
      <family val="2"/>
    </font>
    <font>
      <b/>
      <sz val="8"/>
      <name val="Arial"/>
      <family val="2"/>
    </font>
    <font>
      <sz val="8"/>
      <name val="Arial"/>
      <family val="2"/>
    </font>
    <font>
      <b/>
      <sz val="9"/>
      <name val="Arial"/>
      <family val="2"/>
    </font>
    <font>
      <sz val="9"/>
      <name val="Arial"/>
      <family val="2"/>
    </font>
    <font>
      <sz val="10"/>
      <name val="Arial"/>
      <family val="2"/>
    </font>
    <font>
      <sz val="8"/>
      <name val="Arial"/>
      <family val="2"/>
    </font>
    <font>
      <sz val="10"/>
      <name val="Helv"/>
    </font>
    <font>
      <sz val="10"/>
      <name val="Times"/>
      <family val="1"/>
    </font>
    <font>
      <b/>
      <sz val="10"/>
      <name val="SWISS"/>
    </font>
    <font>
      <sz val="10"/>
      <name val="DUTCH"/>
    </font>
    <font>
      <b/>
      <sz val="10"/>
      <name val="Times"/>
      <family val="1"/>
    </font>
    <font>
      <sz val="10"/>
      <name val="DUTCH"/>
    </font>
    <font>
      <sz val="10"/>
      <name val="Times New Roman"/>
      <family val="1"/>
    </font>
    <font>
      <b/>
      <sz val="10"/>
      <name val="Times New Roman"/>
      <family val="1"/>
    </font>
    <font>
      <b/>
      <sz val="10"/>
      <name val="Bookman Old Style"/>
      <family val="1"/>
    </font>
    <font>
      <sz val="10"/>
      <name val="Arial"/>
      <family val="2"/>
    </font>
    <font>
      <b/>
      <sz val="10"/>
      <name val="Helv"/>
    </font>
    <font>
      <sz val="10"/>
      <name val="Arial"/>
      <family val="2"/>
    </font>
    <font>
      <sz val="10"/>
      <name val="SWISS"/>
    </font>
    <font>
      <b/>
      <sz val="10"/>
      <name val="Garamond"/>
      <family val="1"/>
    </font>
    <font>
      <sz val="10"/>
      <name val="Garamond"/>
      <family val="1"/>
    </font>
    <font>
      <sz val="10"/>
      <name val="Arial"/>
      <family val="2"/>
    </font>
    <font>
      <sz val="10"/>
      <name val="Arial"/>
      <family val="2"/>
    </font>
    <font>
      <sz val="10"/>
      <name val="Arial"/>
      <family val="2"/>
    </font>
    <font>
      <sz val="10"/>
      <name val="Arial"/>
      <family val="2"/>
    </font>
    <font>
      <sz val="10"/>
      <color indexed="43"/>
      <name val="SWISS"/>
    </font>
    <font>
      <sz val="10"/>
      <color indexed="26"/>
      <name val="Arial"/>
      <family val="2"/>
    </font>
    <font>
      <b/>
      <sz val="11"/>
      <name val="Arial"/>
      <family val="2"/>
    </font>
    <font>
      <sz val="10"/>
      <name val="Arial"/>
      <family val="2"/>
    </font>
    <font>
      <sz val="26"/>
      <name val="Arial"/>
      <family val="2"/>
    </font>
    <font>
      <sz val="10"/>
      <name val="Times Roman"/>
    </font>
    <font>
      <b/>
      <i/>
      <u/>
      <sz val="11"/>
      <name val="Arial"/>
      <family val="2"/>
    </font>
    <font>
      <sz val="10"/>
      <color theme="0"/>
      <name val="Arial"/>
      <family val="2"/>
    </font>
    <font>
      <b/>
      <sz val="10"/>
      <color theme="0"/>
      <name val="SWISS"/>
    </font>
    <font>
      <sz val="10"/>
      <color theme="1"/>
      <name val="Arial"/>
      <family val="2"/>
    </font>
    <font>
      <b/>
      <sz val="10"/>
      <color theme="1"/>
      <name val="SWISS"/>
    </font>
    <font>
      <sz val="10"/>
      <color theme="2"/>
      <name val="Arial"/>
      <family val="2"/>
    </font>
    <font>
      <sz val="10"/>
      <color theme="0"/>
      <name val="DUTCH"/>
    </font>
    <font>
      <sz val="10"/>
      <color theme="0"/>
      <name val="SWISS"/>
    </font>
    <font>
      <b/>
      <sz val="10"/>
      <color theme="0"/>
      <name val="Arial"/>
      <family val="2"/>
    </font>
    <font>
      <b/>
      <sz val="10"/>
      <color theme="0"/>
      <name val="Garamond"/>
      <family val="1"/>
    </font>
    <font>
      <sz val="10"/>
      <color theme="6" tint="0.59999389629810485"/>
      <name val="Arial"/>
      <family val="2"/>
    </font>
    <font>
      <b/>
      <sz val="10"/>
      <color theme="6" tint="0.59999389629810485"/>
      <name val="Arial"/>
      <family val="2"/>
    </font>
    <font>
      <sz val="10"/>
      <color theme="1"/>
      <name val="DUTCH"/>
    </font>
    <font>
      <b/>
      <sz val="20"/>
      <color theme="6" tint="0.59999389629810485"/>
      <name val="Arial"/>
      <family val="2"/>
    </font>
  </fonts>
  <fills count="16">
    <fill>
      <patternFill patternType="none"/>
    </fill>
    <fill>
      <patternFill patternType="gray125"/>
    </fill>
    <fill>
      <patternFill patternType="mediumGray">
        <fgColor indexed="26"/>
      </patternFill>
    </fill>
    <fill>
      <patternFill patternType="solid">
        <fgColor indexed="43"/>
        <bgColor indexed="64"/>
      </patternFill>
    </fill>
    <fill>
      <patternFill patternType="solid">
        <fgColor indexed="22"/>
        <bgColor indexed="64"/>
      </patternFill>
    </fill>
    <fill>
      <patternFill patternType="solid">
        <fgColor rgb="FFE7DDA8"/>
        <bgColor indexed="26"/>
      </patternFill>
    </fill>
    <fill>
      <patternFill patternType="solid">
        <fgColor rgb="FFFFFFCC"/>
        <bgColor indexed="64"/>
      </patternFill>
    </fill>
    <fill>
      <patternFill patternType="mediumGray">
        <fgColor indexed="26"/>
        <bgColor rgb="FFFFFFFF"/>
      </patternFill>
    </fill>
    <fill>
      <patternFill patternType="mediumGray">
        <fgColor indexed="26"/>
        <bgColor rgb="FFFFFFCC"/>
      </patternFill>
    </fill>
    <fill>
      <patternFill patternType="solid">
        <fgColor rgb="FFFFFF99"/>
        <bgColor indexed="64"/>
      </patternFill>
    </fill>
    <fill>
      <patternFill patternType="mediumGray">
        <fgColor indexed="26"/>
        <bgColor rgb="FFFFFF99"/>
      </patternFill>
    </fill>
    <fill>
      <patternFill patternType="solid">
        <fgColor theme="0" tint="-0.14999847407452621"/>
        <bgColor indexed="64"/>
      </patternFill>
    </fill>
    <fill>
      <patternFill patternType="solid">
        <fgColor rgb="FFE7DDA8"/>
        <bgColor indexed="64"/>
      </patternFill>
    </fill>
    <fill>
      <patternFill patternType="solid">
        <fgColor theme="6" tint="0.59999389629810485"/>
        <bgColor indexed="64"/>
      </patternFill>
    </fill>
    <fill>
      <patternFill patternType="solid">
        <fgColor theme="0"/>
        <bgColor indexed="64"/>
      </patternFill>
    </fill>
    <fill>
      <patternFill patternType="solid">
        <fgColor theme="6"/>
        <bgColor indexed="64"/>
      </patternFill>
    </fill>
  </fills>
  <borders count="64">
    <border>
      <left/>
      <right/>
      <top/>
      <bottom/>
      <diagonal/>
    </border>
    <border>
      <left style="medium">
        <color indexed="64"/>
      </left>
      <right style="thin">
        <color indexed="64"/>
      </right>
      <top style="thin">
        <color indexed="64"/>
      </top>
      <bottom style="thin">
        <color indexed="64"/>
      </bottom>
      <diagonal/>
    </border>
    <border>
      <left/>
      <right/>
      <top style="double">
        <color indexed="64"/>
      </top>
      <bottom style="double">
        <color indexed="64"/>
      </bottom>
      <diagonal/>
    </border>
    <border>
      <left style="thin">
        <color indexed="64"/>
      </left>
      <right style="thin">
        <color indexed="64"/>
      </right>
      <top style="thick">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double">
        <color indexed="8"/>
      </top>
      <bottom/>
      <diagonal/>
    </border>
    <border>
      <left/>
      <right/>
      <top/>
      <bottom style="thin">
        <color indexed="8"/>
      </bottom>
      <diagonal/>
    </border>
    <border>
      <left/>
      <right/>
      <top/>
      <bottom style="double">
        <color indexed="8"/>
      </bottom>
      <diagonal/>
    </border>
    <border>
      <left style="double">
        <color indexed="8"/>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style="double">
        <color indexed="8"/>
      </right>
      <top/>
      <bottom style="double">
        <color indexed="8"/>
      </bottom>
      <diagonal/>
    </border>
    <border>
      <left style="medium">
        <color indexed="8"/>
      </left>
      <right/>
      <top style="medium">
        <color indexed="8"/>
      </top>
      <bottom/>
      <diagonal/>
    </border>
    <border>
      <left/>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double">
        <color indexed="8"/>
      </left>
      <right/>
      <top/>
      <bottom style="thin">
        <color indexed="8"/>
      </bottom>
      <diagonal/>
    </border>
    <border>
      <left/>
      <right style="double">
        <color indexed="8"/>
      </right>
      <top/>
      <bottom style="thin">
        <color indexed="8"/>
      </bottom>
      <diagonal/>
    </border>
    <border>
      <left/>
      <right style="thin">
        <color indexed="64"/>
      </right>
      <top/>
      <bottom style="medium">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8"/>
      </right>
      <top/>
      <bottom style="medium">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thin">
        <color indexed="64"/>
      </top>
      <bottom style="medium">
        <color indexed="8"/>
      </bottom>
      <diagonal/>
    </border>
    <border>
      <left style="thin">
        <color indexed="64"/>
      </left>
      <right style="thin">
        <color indexed="64"/>
      </right>
      <top/>
      <bottom style="thin">
        <color indexed="64"/>
      </bottom>
      <diagonal/>
    </border>
    <border>
      <left style="thin">
        <color indexed="8"/>
      </left>
      <right style="thin">
        <color indexed="8"/>
      </right>
      <top style="medium">
        <color indexed="8"/>
      </top>
      <bottom style="thin">
        <color indexed="64"/>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medium">
        <color indexed="8"/>
      </bottom>
      <diagonal/>
    </border>
    <border>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style="thin">
        <color indexed="64"/>
      </left>
      <right style="thin">
        <color indexed="64"/>
      </right>
      <top style="thick">
        <color indexed="64"/>
      </top>
      <bottom/>
      <diagonal/>
    </border>
    <border>
      <left style="thin">
        <color indexed="64"/>
      </left>
      <right style="thin">
        <color indexed="64"/>
      </right>
      <top/>
      <bottom style="thick">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8"/>
      </bottom>
      <diagonal/>
    </border>
  </borders>
  <cellStyleXfs count="1">
    <xf numFmtId="0" fontId="0" fillId="0" borderId="0"/>
  </cellStyleXfs>
  <cellXfs count="295">
    <xf numFmtId="0" fontId="0" fillId="0" borderId="0" xfId="0"/>
    <xf numFmtId="164" fontId="0" fillId="0" borderId="1" xfId="0" applyNumberFormat="1" applyFill="1" applyBorder="1" applyProtection="1">
      <protection locked="0"/>
    </xf>
    <xf numFmtId="0" fontId="0" fillId="2" borderId="0" xfId="0" applyFill="1" applyProtection="1"/>
    <xf numFmtId="164" fontId="0" fillId="2" borderId="0" xfId="0" applyNumberFormat="1" applyFill="1" applyProtection="1"/>
    <xf numFmtId="0" fontId="3" fillId="3" borderId="2" xfId="0" applyFont="1" applyFill="1" applyBorder="1" applyAlignment="1" applyProtection="1"/>
    <xf numFmtId="0" fontId="2" fillId="4" borderId="0" xfId="0" applyFont="1" applyFill="1" applyProtection="1"/>
    <xf numFmtId="0" fontId="2" fillId="2" borderId="0" xfId="0" applyFont="1" applyFill="1" applyProtection="1"/>
    <xf numFmtId="0" fontId="2" fillId="2" borderId="0" xfId="0" applyFont="1" applyFill="1" applyAlignment="1" applyProtection="1">
      <alignment horizontal="center"/>
    </xf>
    <xf numFmtId="0" fontId="3" fillId="3" borderId="2" xfId="0" applyFont="1" applyFill="1" applyBorder="1" applyAlignment="1" applyProtection="1">
      <alignment horizontal="left"/>
    </xf>
    <xf numFmtId="0" fontId="0" fillId="3" borderId="2" xfId="0" applyFill="1" applyBorder="1" applyProtection="1"/>
    <xf numFmtId="164" fontId="0" fillId="3" borderId="2" xfId="0" applyNumberFormat="1" applyFill="1" applyBorder="1" applyProtection="1"/>
    <xf numFmtId="0" fontId="0" fillId="2" borderId="0" xfId="0" applyFill="1" applyBorder="1" applyProtection="1"/>
    <xf numFmtId="164" fontId="6" fillId="2" borderId="3" xfId="0" applyNumberFormat="1" applyFont="1" applyFill="1" applyBorder="1" applyAlignment="1" applyProtection="1">
      <alignment horizontal="center"/>
    </xf>
    <xf numFmtId="164" fontId="6" fillId="2" borderId="4" xfId="0" applyNumberFormat="1" applyFont="1" applyFill="1" applyBorder="1" applyAlignment="1" applyProtection="1">
      <alignment horizontal="center"/>
    </xf>
    <xf numFmtId="164" fontId="6" fillId="2" borderId="0" xfId="0" applyNumberFormat="1" applyFont="1" applyFill="1" applyBorder="1" applyAlignment="1" applyProtection="1">
      <alignment horizontal="center"/>
    </xf>
    <xf numFmtId="0" fontId="6" fillId="2" borderId="0" xfId="0" applyFont="1" applyFill="1" applyProtection="1"/>
    <xf numFmtId="0" fontId="6" fillId="2" borderId="0" xfId="0" applyFont="1" applyFill="1" applyAlignment="1" applyProtection="1">
      <alignment horizontal="center"/>
    </xf>
    <xf numFmtId="0" fontId="7" fillId="2" borderId="0" xfId="0" applyFont="1" applyFill="1" applyProtection="1"/>
    <xf numFmtId="164" fontId="7" fillId="2" borderId="0" xfId="0" applyNumberFormat="1" applyFont="1" applyFill="1" applyProtection="1"/>
    <xf numFmtId="0" fontId="7" fillId="2" borderId="0" xfId="0" applyFont="1" applyFill="1" applyBorder="1" applyProtection="1"/>
    <xf numFmtId="164" fontId="7" fillId="2" borderId="5" xfId="0" applyNumberFormat="1" applyFont="1" applyFill="1" applyBorder="1" applyProtection="1"/>
    <xf numFmtId="164" fontId="7" fillId="2" borderId="0" xfId="0" applyNumberFormat="1" applyFont="1" applyFill="1" applyBorder="1" applyProtection="1"/>
    <xf numFmtId="0" fontId="7" fillId="2" borderId="5" xfId="0" applyFont="1" applyFill="1" applyBorder="1" applyProtection="1"/>
    <xf numFmtId="0" fontId="7" fillId="2" borderId="6" xfId="0" applyFont="1" applyFill="1" applyBorder="1" applyProtection="1"/>
    <xf numFmtId="1" fontId="7" fillId="2" borderId="5" xfId="0" applyNumberFormat="1" applyFont="1" applyFill="1" applyBorder="1" applyProtection="1"/>
    <xf numFmtId="165" fontId="7" fillId="2" borderId="5" xfId="0" applyNumberFormat="1" applyFont="1" applyFill="1" applyBorder="1" applyProtection="1"/>
    <xf numFmtId="2" fontId="7" fillId="2" borderId="5" xfId="0" applyNumberFormat="1" applyFont="1" applyFill="1" applyBorder="1" applyProtection="1"/>
    <xf numFmtId="0" fontId="7" fillId="4" borderId="0" xfId="0" applyFont="1" applyFill="1" applyProtection="1"/>
    <xf numFmtId="164" fontId="7" fillId="2" borderId="1" xfId="0" applyNumberFormat="1" applyFont="1" applyFill="1" applyBorder="1" applyProtection="1"/>
    <xf numFmtId="0" fontId="0" fillId="2" borderId="5" xfId="0" applyFill="1" applyBorder="1" applyProtection="1"/>
    <xf numFmtId="164" fontId="0" fillId="2" borderId="5" xfId="0" applyNumberFormat="1" applyFill="1" applyBorder="1" applyProtection="1"/>
    <xf numFmtId="165" fontId="7" fillId="2" borderId="6" xfId="0" applyNumberFormat="1" applyFont="1" applyFill="1" applyBorder="1" applyProtection="1"/>
    <xf numFmtId="2" fontId="19" fillId="0" borderId="0" xfId="0" applyNumberFormat="1" applyFont="1" applyBorder="1" applyProtection="1"/>
    <xf numFmtId="2" fontId="19" fillId="0" borderId="8" xfId="0" applyNumberFormat="1" applyFont="1" applyBorder="1" applyProtection="1"/>
    <xf numFmtId="168" fontId="20" fillId="0" borderId="0" xfId="0" applyNumberFormat="1" applyFont="1" applyBorder="1" applyAlignment="1" applyProtection="1">
      <alignment horizontal="right"/>
    </xf>
    <xf numFmtId="168" fontId="12" fillId="0" borderId="0" xfId="0" applyNumberFormat="1" applyFont="1" applyBorder="1" applyAlignment="1" applyProtection="1">
      <alignment horizontal="right"/>
    </xf>
    <xf numFmtId="0" fontId="30" fillId="2" borderId="0" xfId="0" applyFont="1" applyFill="1" applyProtection="1"/>
    <xf numFmtId="0" fontId="0" fillId="5" borderId="0" xfId="0" applyFill="1" applyProtection="1"/>
    <xf numFmtId="0" fontId="0" fillId="2" borderId="0" xfId="0" applyFont="1" applyFill="1" applyProtection="1"/>
    <xf numFmtId="0" fontId="7" fillId="6" borderId="35" xfId="0" applyFont="1" applyFill="1" applyBorder="1" applyAlignment="1" applyProtection="1"/>
    <xf numFmtId="0" fontId="0" fillId="7" borderId="0" xfId="0" applyFill="1" applyProtection="1"/>
    <xf numFmtId="0" fontId="7" fillId="6" borderId="36" xfId="0" applyFont="1" applyFill="1" applyBorder="1" applyProtection="1"/>
    <xf numFmtId="0" fontId="5" fillId="6" borderId="36" xfId="0" applyFont="1" applyFill="1" applyBorder="1" applyAlignment="1" applyProtection="1">
      <alignment horizontal="center"/>
    </xf>
    <xf numFmtId="0" fontId="7" fillId="6" borderId="0" xfId="0" applyFont="1" applyFill="1" applyProtection="1"/>
    <xf numFmtId="164" fontId="7" fillId="6" borderId="0" xfId="0" applyNumberFormat="1" applyFont="1" applyFill="1" applyProtection="1"/>
    <xf numFmtId="164" fontId="7" fillId="6" borderId="36" xfId="0" applyNumberFormat="1" applyFont="1" applyFill="1" applyBorder="1" applyProtection="1"/>
    <xf numFmtId="0" fontId="0" fillId="6" borderId="0" xfId="0" applyFill="1" applyProtection="1"/>
    <xf numFmtId="0" fontId="4" fillId="6" borderId="0" xfId="0" applyFont="1" applyFill="1" applyAlignment="1" applyProtection="1">
      <alignment horizontal="right"/>
    </xf>
    <xf numFmtId="0" fontId="5" fillId="6" borderId="0" xfId="0" applyFont="1" applyFill="1" applyProtection="1"/>
    <xf numFmtId="0" fontId="0" fillId="6" borderId="0" xfId="0" applyFill="1" applyBorder="1" applyProtection="1"/>
    <xf numFmtId="0" fontId="4" fillId="6" borderId="0" xfId="0" applyFont="1" applyFill="1" applyBorder="1" applyAlignment="1" applyProtection="1">
      <alignment horizontal="right"/>
    </xf>
    <xf numFmtId="0" fontId="5" fillId="6" borderId="0" xfId="0" applyFont="1" applyFill="1" applyBorder="1" applyProtection="1"/>
    <xf numFmtId="0" fontId="0" fillId="8" borderId="36" xfId="0" applyFill="1" applyBorder="1" applyProtection="1"/>
    <xf numFmtId="0" fontId="0" fillId="2" borderId="36" xfId="0" applyFill="1" applyBorder="1" applyProtection="1"/>
    <xf numFmtId="164" fontId="31" fillId="3" borderId="2" xfId="0" applyNumberFormat="1" applyFont="1" applyFill="1" applyBorder="1" applyProtection="1"/>
    <xf numFmtId="0" fontId="5" fillId="6" borderId="37" xfId="0" applyFont="1" applyFill="1" applyBorder="1" applyProtection="1"/>
    <xf numFmtId="164" fontId="4" fillId="6" borderId="38" xfId="0" applyNumberFormat="1" applyFont="1" applyFill="1" applyBorder="1" applyAlignment="1" applyProtection="1">
      <alignment horizontal="center"/>
    </xf>
    <xf numFmtId="0" fontId="6" fillId="0" borderId="6" xfId="0" applyFont="1" applyFill="1" applyBorder="1" applyAlignment="1" applyProtection="1">
      <alignment horizontal="center"/>
    </xf>
    <xf numFmtId="164" fontId="4" fillId="0" borderId="39" xfId="0" applyNumberFormat="1" applyFont="1" applyFill="1" applyBorder="1" applyAlignment="1" applyProtection="1">
      <alignment horizontal="center"/>
    </xf>
    <xf numFmtId="0" fontId="4" fillId="0" borderId="39" xfId="0" applyFont="1" applyFill="1" applyBorder="1" applyAlignment="1" applyProtection="1">
      <alignment horizontal="center"/>
    </xf>
    <xf numFmtId="0" fontId="6" fillId="8" borderId="3" xfId="0" applyFont="1" applyFill="1" applyBorder="1" applyAlignment="1" applyProtection="1">
      <alignment horizontal="center"/>
    </xf>
    <xf numFmtId="164" fontId="4" fillId="6" borderId="39" xfId="0" applyNumberFormat="1" applyFont="1" applyFill="1" applyBorder="1" applyAlignment="1" applyProtection="1">
      <alignment horizontal="center"/>
    </xf>
    <xf numFmtId="0" fontId="6" fillId="8" borderId="39" xfId="0" applyFont="1" applyFill="1" applyBorder="1" applyAlignment="1" applyProtection="1">
      <alignment horizontal="center"/>
    </xf>
    <xf numFmtId="0" fontId="4" fillId="8" borderId="39" xfId="0" applyFont="1" applyFill="1" applyBorder="1" applyAlignment="1" applyProtection="1">
      <alignment horizontal="center"/>
    </xf>
    <xf numFmtId="0" fontId="3" fillId="9" borderId="2" xfId="0" applyFont="1" applyFill="1" applyBorder="1" applyAlignment="1" applyProtection="1"/>
    <xf numFmtId="0" fontId="7" fillId="10" borderId="4" xfId="0" applyFont="1" applyFill="1" applyBorder="1" applyAlignment="1" applyProtection="1">
      <alignment horizontal="center"/>
    </xf>
    <xf numFmtId="0" fontId="2" fillId="10" borderId="0" xfId="0" applyFont="1" applyFill="1" applyProtection="1"/>
    <xf numFmtId="164" fontId="6" fillId="10" borderId="39" xfId="0" applyNumberFormat="1" applyFont="1" applyFill="1" applyBorder="1" applyAlignment="1" applyProtection="1">
      <alignment horizontal="center"/>
    </xf>
    <xf numFmtId="164" fontId="6" fillId="10" borderId="6" xfId="0" applyNumberFormat="1" applyFont="1" applyFill="1" applyBorder="1" applyAlignment="1" applyProtection="1">
      <alignment horizontal="center"/>
    </xf>
    <xf numFmtId="0" fontId="2" fillId="10" borderId="0" xfId="0" applyFont="1" applyFill="1" applyAlignment="1" applyProtection="1">
      <alignment horizontal="center"/>
    </xf>
    <xf numFmtId="0" fontId="6" fillId="10" borderId="40" xfId="0" applyFont="1" applyFill="1" applyBorder="1" applyAlignment="1" applyProtection="1">
      <alignment horizontal="center"/>
    </xf>
    <xf numFmtId="0" fontId="2" fillId="0" borderId="0" xfId="0" applyFont="1" applyAlignment="1" applyProtection="1">
      <alignment horizontal="centerContinuous"/>
      <protection locked="0"/>
    </xf>
    <xf numFmtId="0" fontId="22" fillId="0" borderId="0" xfId="0" applyFont="1" applyProtection="1">
      <protection locked="0"/>
    </xf>
    <xf numFmtId="0" fontId="23" fillId="0" borderId="0" xfId="0" applyFont="1" applyBorder="1" applyAlignment="1" applyProtection="1">
      <alignment horizontal="centerContinuous"/>
      <protection locked="0"/>
    </xf>
    <xf numFmtId="0" fontId="23" fillId="0" borderId="0" xfId="0" applyFont="1" applyBorder="1" applyProtection="1">
      <protection locked="0"/>
    </xf>
    <xf numFmtId="0" fontId="23" fillId="0" borderId="0" xfId="0" applyFont="1" applyAlignment="1" applyProtection="1">
      <alignment horizontal="centerContinuous"/>
      <protection locked="0"/>
    </xf>
    <xf numFmtId="0" fontId="23" fillId="0" borderId="0" xfId="0" applyFont="1" applyProtection="1">
      <protection locked="0"/>
    </xf>
    <xf numFmtId="0" fontId="24" fillId="0" borderId="0" xfId="0" applyFont="1" applyProtection="1">
      <protection locked="0"/>
    </xf>
    <xf numFmtId="0" fontId="23" fillId="0" borderId="41" xfId="0" applyFont="1" applyBorder="1" applyAlignment="1" applyProtection="1">
      <alignment horizontal="center"/>
      <protection locked="0"/>
    </xf>
    <xf numFmtId="0" fontId="23" fillId="3" borderId="5" xfId="0" applyFont="1" applyFill="1" applyBorder="1" applyAlignment="1" applyProtection="1">
      <alignment horizontal="center"/>
      <protection locked="0"/>
    </xf>
    <xf numFmtId="0" fontId="23" fillId="3" borderId="40" xfId="0" applyFont="1" applyFill="1" applyBorder="1" applyAlignment="1" applyProtection="1">
      <alignment horizontal="center"/>
      <protection locked="0"/>
    </xf>
    <xf numFmtId="0" fontId="23" fillId="11" borderId="5" xfId="0" applyFont="1" applyFill="1" applyBorder="1" applyAlignment="1" applyProtection="1">
      <alignment horizontal="left"/>
      <protection locked="0"/>
    </xf>
    <xf numFmtId="0" fontId="23" fillId="11" borderId="5" xfId="0" applyFont="1" applyFill="1" applyBorder="1" applyAlignment="1" applyProtection="1">
      <alignment horizontal="center"/>
      <protection locked="0"/>
    </xf>
    <xf numFmtId="14" fontId="23" fillId="11" borderId="5" xfId="0" applyNumberFormat="1" applyFont="1" applyFill="1" applyBorder="1" applyAlignment="1" applyProtection="1">
      <alignment horizontal="center"/>
      <protection locked="0"/>
    </xf>
    <xf numFmtId="164" fontId="23" fillId="11" borderId="42" xfId="0" applyNumberFormat="1" applyFont="1" applyFill="1" applyBorder="1" applyAlignment="1" applyProtection="1">
      <alignment horizontal="center"/>
      <protection locked="0"/>
    </xf>
    <xf numFmtId="164" fontId="23" fillId="11" borderId="5" xfId="0" applyNumberFormat="1" applyFont="1" applyFill="1" applyBorder="1" applyAlignment="1" applyProtection="1">
      <alignment horizontal="center"/>
      <protection locked="0"/>
    </xf>
    <xf numFmtId="164" fontId="23" fillId="11" borderId="43" xfId="0" applyNumberFormat="1" applyFont="1" applyFill="1" applyBorder="1" applyAlignment="1" applyProtection="1">
      <alignment horizontal="center"/>
      <protection locked="0"/>
    </xf>
    <xf numFmtId="164" fontId="23" fillId="11" borderId="44" xfId="0" applyNumberFormat="1" applyFont="1" applyFill="1" applyBorder="1" applyAlignment="1" applyProtection="1">
      <alignment horizontal="center"/>
      <protection locked="0"/>
    </xf>
    <xf numFmtId="0" fontId="7" fillId="12" borderId="0" xfId="0" applyFont="1" applyFill="1" applyAlignment="1" applyProtection="1">
      <alignment wrapText="1"/>
    </xf>
    <xf numFmtId="0" fontId="7" fillId="12" borderId="0" xfId="0" applyFont="1" applyFill="1" applyAlignment="1" applyProtection="1">
      <alignment horizontal="left" vertical="center" wrapText="1"/>
    </xf>
    <xf numFmtId="0" fontId="5" fillId="2" borderId="0" xfId="0" applyFont="1" applyFill="1" applyAlignment="1" applyProtection="1">
      <alignment wrapText="1"/>
    </xf>
    <xf numFmtId="164" fontId="23" fillId="11" borderId="6" xfId="0" applyNumberFormat="1" applyFont="1" applyFill="1" applyBorder="1" applyAlignment="1" applyProtection="1">
      <alignment horizontal="center"/>
      <protection locked="0"/>
    </xf>
    <xf numFmtId="0" fontId="40" fillId="2" borderId="0" xfId="0" applyFont="1" applyFill="1" applyProtection="1"/>
    <xf numFmtId="0" fontId="40" fillId="2" borderId="0" xfId="0" applyFont="1" applyFill="1" applyAlignment="1" applyProtection="1">
      <alignment horizontal="left"/>
    </xf>
    <xf numFmtId="0" fontId="40" fillId="2" borderId="0" xfId="0" applyFont="1" applyFill="1" applyAlignment="1" applyProtection="1">
      <alignment horizontal="right"/>
    </xf>
    <xf numFmtId="0" fontId="8" fillId="2" borderId="0" xfId="0" applyFont="1" applyFill="1" applyBorder="1" applyAlignment="1" applyProtection="1">
      <alignment horizontal="left" vertical="center" wrapText="1"/>
    </xf>
    <xf numFmtId="0" fontId="5" fillId="6" borderId="36" xfId="0" applyFont="1" applyFill="1" applyBorder="1" applyProtection="1"/>
    <xf numFmtId="0" fontId="45" fillId="13" borderId="0" xfId="0" applyFont="1" applyFill="1" applyAlignment="1">
      <alignment horizontal="center"/>
    </xf>
    <xf numFmtId="0" fontId="46" fillId="13" borderId="5" xfId="0" applyFont="1" applyFill="1" applyBorder="1" applyAlignment="1">
      <alignment horizontal="center"/>
    </xf>
    <xf numFmtId="0" fontId="45" fillId="13" borderId="5" xfId="0" applyFont="1" applyFill="1" applyBorder="1" applyAlignment="1">
      <alignment horizontal="center"/>
    </xf>
    <xf numFmtId="0" fontId="1" fillId="0" borderId="0" xfId="0" applyFont="1" applyProtection="1"/>
    <xf numFmtId="0" fontId="18" fillId="0" borderId="0" xfId="0" applyFont="1" applyAlignment="1" applyProtection="1">
      <alignment horizontal="left"/>
    </xf>
    <xf numFmtId="0" fontId="18" fillId="0" borderId="0" xfId="0" applyFont="1" applyProtection="1"/>
    <xf numFmtId="0" fontId="12" fillId="0" borderId="0" xfId="0" applyFont="1" applyProtection="1"/>
    <xf numFmtId="0" fontId="19" fillId="0" borderId="0" xfId="0" applyFont="1" applyProtection="1"/>
    <xf numFmtId="0" fontId="19" fillId="0" borderId="10" xfId="0" applyFont="1" applyBorder="1" applyProtection="1"/>
    <xf numFmtId="0" fontId="20" fillId="0" borderId="7" xfId="0" applyFont="1" applyBorder="1" applyProtection="1"/>
    <xf numFmtId="0" fontId="21" fillId="0" borderId="7" xfId="0" applyFont="1" applyBorder="1" applyProtection="1"/>
    <xf numFmtId="0" fontId="21" fillId="0" borderId="11" xfId="0" applyFont="1" applyBorder="1" applyProtection="1"/>
    <xf numFmtId="0" fontId="21" fillId="0" borderId="0" xfId="0" applyFont="1" applyProtection="1"/>
    <xf numFmtId="0" fontId="2" fillId="0" borderId="0" xfId="0" applyFont="1" applyBorder="1" applyAlignment="1" applyProtection="1">
      <alignment horizontal="centerContinuous"/>
    </xf>
    <xf numFmtId="0" fontId="2" fillId="0" borderId="0" xfId="0" applyFont="1" applyProtection="1"/>
    <xf numFmtId="0" fontId="2" fillId="0" borderId="0" xfId="0" applyFont="1" applyAlignment="1" applyProtection="1">
      <alignment horizontal="centerContinuous"/>
    </xf>
    <xf numFmtId="0" fontId="19" fillId="0" borderId="12" xfId="0" applyFont="1" applyBorder="1" applyProtection="1"/>
    <xf numFmtId="0" fontId="20" fillId="0" borderId="0" xfId="0" applyFont="1" applyProtection="1"/>
    <xf numFmtId="0" fontId="21" fillId="0" borderId="13" xfId="0" applyFont="1" applyBorder="1" applyProtection="1"/>
    <xf numFmtId="0" fontId="22" fillId="0" borderId="0" xfId="0" applyFont="1" applyBorder="1" applyProtection="1"/>
    <xf numFmtId="0" fontId="8" fillId="0" borderId="0" xfId="0" applyFont="1" applyBorder="1" applyAlignment="1" applyProtection="1">
      <alignment horizontal="left"/>
    </xf>
    <xf numFmtId="0" fontId="22" fillId="0" borderId="0" xfId="0" applyFont="1" applyProtection="1"/>
    <xf numFmtId="0" fontId="19" fillId="0" borderId="7" xfId="0" applyFont="1" applyBorder="1" applyProtection="1"/>
    <xf numFmtId="0" fontId="20" fillId="0" borderId="7" xfId="0" applyFont="1" applyBorder="1" applyAlignment="1" applyProtection="1">
      <alignment horizontal="left"/>
    </xf>
    <xf numFmtId="0" fontId="20" fillId="0" borderId="7" xfId="0" applyFont="1" applyFill="1" applyBorder="1" applyProtection="1"/>
    <xf numFmtId="0" fontId="2" fillId="0" borderId="0" xfId="0" applyFont="1" applyBorder="1" applyProtection="1"/>
    <xf numFmtId="0" fontId="8" fillId="0" borderId="0" xfId="0" applyFont="1" applyBorder="1" applyProtection="1"/>
    <xf numFmtId="0" fontId="19" fillId="0" borderId="0" xfId="0" applyFont="1" applyBorder="1" applyProtection="1"/>
    <xf numFmtId="0" fontId="20" fillId="0" borderId="0" xfId="0" applyFont="1" applyFill="1" applyBorder="1" applyAlignment="1" applyProtection="1">
      <alignment horizontal="left"/>
    </xf>
    <xf numFmtId="0" fontId="21" fillId="0" borderId="0" xfId="0" applyFont="1" applyBorder="1" applyProtection="1"/>
    <xf numFmtId="0" fontId="20" fillId="0" borderId="0" xfId="0" applyFont="1" applyFill="1" applyBorder="1" applyProtection="1"/>
    <xf numFmtId="0" fontId="2" fillId="0" borderId="0" xfId="0" applyFont="1" applyAlignment="1" applyProtection="1">
      <alignment horizontal="left"/>
    </xf>
    <xf numFmtId="0" fontId="8" fillId="0" borderId="0" xfId="0" applyFont="1" applyProtection="1"/>
    <xf numFmtId="15" fontId="8" fillId="0" borderId="0" xfId="0" applyNumberFormat="1" applyFont="1" applyBorder="1" applyAlignment="1" applyProtection="1">
      <alignment horizontal="left"/>
    </xf>
    <xf numFmtId="166" fontId="20" fillId="0" borderId="0" xfId="0" applyNumberFormat="1" applyFont="1" applyFill="1" applyBorder="1" applyAlignment="1" applyProtection="1">
      <alignment horizontal="left"/>
    </xf>
    <xf numFmtId="167" fontId="20" fillId="0" borderId="0" xfId="0" applyNumberFormat="1" applyFont="1" applyFill="1" applyBorder="1" applyAlignment="1" applyProtection="1">
      <alignment horizontal="left"/>
    </xf>
    <xf numFmtId="0" fontId="21" fillId="0" borderId="0" xfId="0" quotePrefix="1" applyFont="1" applyBorder="1" applyProtection="1"/>
    <xf numFmtId="0" fontId="12" fillId="0" borderId="0" xfId="0" applyFont="1" applyBorder="1" applyAlignment="1" applyProtection="1">
      <alignment horizontal="center"/>
    </xf>
    <xf numFmtId="0" fontId="19" fillId="0" borderId="14" xfId="0" applyFont="1" applyBorder="1" applyProtection="1"/>
    <xf numFmtId="0" fontId="19" fillId="0" borderId="9" xfId="0" applyFont="1" applyBorder="1" applyProtection="1"/>
    <xf numFmtId="166" fontId="20" fillId="0" borderId="9" xfId="0" applyNumberFormat="1" applyFont="1" applyBorder="1" applyAlignment="1" applyProtection="1">
      <alignment horizontal="left"/>
    </xf>
    <xf numFmtId="0" fontId="21" fillId="0" borderId="9" xfId="0" applyFont="1" applyBorder="1" applyProtection="1"/>
    <xf numFmtId="167" fontId="20" fillId="0" borderId="9" xfId="0" quotePrefix="1" applyNumberFormat="1" applyFont="1" applyFill="1" applyBorder="1" applyAlignment="1" applyProtection="1">
      <alignment horizontal="left"/>
    </xf>
    <xf numFmtId="0" fontId="21" fillId="0" borderId="9" xfId="0" quotePrefix="1" applyFont="1" applyBorder="1" applyAlignment="1" applyProtection="1">
      <alignment horizontal="right"/>
    </xf>
    <xf numFmtId="0" fontId="21" fillId="0" borderId="15" xfId="0" applyFont="1" applyBorder="1" applyProtection="1"/>
    <xf numFmtId="0" fontId="10" fillId="0" borderId="0" xfId="0" applyFont="1" applyFill="1" applyAlignment="1" applyProtection="1">
      <alignment horizontal="right"/>
    </xf>
    <xf numFmtId="0" fontId="11" fillId="0" borderId="0" xfId="0" applyFont="1" applyBorder="1" applyProtection="1"/>
    <xf numFmtId="0" fontId="10" fillId="0" borderId="0" xfId="0" applyFont="1" applyAlignment="1" applyProtection="1">
      <alignment horizontal="right"/>
    </xf>
    <xf numFmtId="0" fontId="19" fillId="0" borderId="13" xfId="0" applyFont="1" applyBorder="1" applyProtection="1"/>
    <xf numFmtId="0" fontId="22" fillId="0" borderId="16" xfId="0" applyFont="1" applyBorder="1" applyProtection="1"/>
    <xf numFmtId="0" fontId="22" fillId="0" borderId="17" xfId="0" applyFont="1" applyBorder="1" applyProtection="1"/>
    <xf numFmtId="0" fontId="2" fillId="0" borderId="17" xfId="0" applyFont="1" applyBorder="1" applyProtection="1"/>
    <xf numFmtId="0" fontId="2" fillId="0" borderId="17" xfId="0" applyFont="1" applyBorder="1" applyAlignment="1" applyProtection="1">
      <alignment horizontal="centerContinuous"/>
    </xf>
    <xf numFmtId="0" fontId="12" fillId="0" borderId="17" xfId="0" applyFont="1" applyBorder="1" applyAlignment="1" applyProtection="1">
      <alignment horizontal="center"/>
    </xf>
    <xf numFmtId="10" fontId="12" fillId="0" borderId="18" xfId="0" applyNumberFormat="1" applyFont="1" applyBorder="1" applyAlignment="1" applyProtection="1">
      <alignment horizontal="center"/>
    </xf>
    <xf numFmtId="0" fontId="12" fillId="0" borderId="18" xfId="0" applyFont="1" applyBorder="1" applyAlignment="1" applyProtection="1">
      <alignment horizontal="center"/>
    </xf>
    <xf numFmtId="164" fontId="23" fillId="0" borderId="19" xfId="0" applyNumberFormat="1" applyFont="1" applyBorder="1" applyAlignment="1" applyProtection="1">
      <alignment horizontal="center"/>
    </xf>
    <xf numFmtId="0" fontId="25" fillId="0" borderId="0" xfId="0" applyFont="1" applyProtection="1"/>
    <xf numFmtId="0" fontId="25" fillId="0" borderId="12" xfId="0" applyFont="1" applyBorder="1" applyProtection="1"/>
    <xf numFmtId="0" fontId="25" fillId="0" borderId="10" xfId="0" applyFont="1" applyBorder="1" applyProtection="1"/>
    <xf numFmtId="0" fontId="25" fillId="0" borderId="7" xfId="0" applyFont="1" applyBorder="1" applyProtection="1"/>
    <xf numFmtId="0" fontId="20" fillId="0" borderId="7" xfId="0" applyFont="1" applyBorder="1" applyAlignment="1" applyProtection="1">
      <alignment horizontal="right"/>
    </xf>
    <xf numFmtId="0" fontId="34" fillId="0" borderId="7" xfId="0" applyFont="1" applyBorder="1" applyProtection="1"/>
    <xf numFmtId="2" fontId="21" fillId="0" borderId="7" xfId="0" applyNumberFormat="1" applyFont="1" applyBorder="1" applyProtection="1"/>
    <xf numFmtId="0" fontId="22" fillId="0" borderId="20" xfId="0" applyFont="1" applyBorder="1" applyProtection="1"/>
    <xf numFmtId="10" fontId="12" fillId="0" borderId="21" xfId="0" applyNumberFormat="1" applyFont="1" applyBorder="1" applyAlignment="1" applyProtection="1">
      <alignment horizontal="center"/>
    </xf>
    <xf numFmtId="0" fontId="12" fillId="0" borderId="21" xfId="0" applyFont="1" applyBorder="1" applyAlignment="1" applyProtection="1">
      <alignment horizontal="center"/>
    </xf>
    <xf numFmtId="164" fontId="23" fillId="0" borderId="22" xfId="0" applyNumberFormat="1" applyFont="1" applyBorder="1" applyAlignment="1" applyProtection="1">
      <alignment horizontal="center"/>
    </xf>
    <xf numFmtId="0" fontId="25" fillId="0" borderId="0" xfId="0" applyFont="1" applyBorder="1" applyProtection="1"/>
    <xf numFmtId="0" fontId="20" fillId="0" borderId="0" xfId="0" applyFont="1" applyBorder="1" applyAlignment="1" applyProtection="1">
      <alignment horizontal="right"/>
    </xf>
    <xf numFmtId="0" fontId="34" fillId="0" borderId="0" xfId="0" applyFont="1" applyBorder="1" applyProtection="1"/>
    <xf numFmtId="0" fontId="25" fillId="0" borderId="27" xfId="0" applyFont="1" applyBorder="1" applyProtection="1"/>
    <xf numFmtId="0" fontId="25" fillId="0" borderId="8" xfId="0" applyFont="1" applyBorder="1" applyProtection="1"/>
    <xf numFmtId="164" fontId="20" fillId="0" borderId="8" xfId="0" applyNumberFormat="1" applyFont="1" applyBorder="1" applyAlignment="1" applyProtection="1">
      <alignment horizontal="right"/>
    </xf>
    <xf numFmtId="0" fontId="34" fillId="0" borderId="8" xfId="0" applyFont="1" applyBorder="1" applyProtection="1"/>
    <xf numFmtId="164" fontId="20" fillId="0" borderId="8" xfId="0" applyNumberFormat="1" applyFont="1" applyFill="1" applyBorder="1" applyProtection="1"/>
    <xf numFmtId="0" fontId="11" fillId="0" borderId="8" xfId="0" applyFont="1" applyBorder="1" applyProtection="1"/>
    <xf numFmtId="0" fontId="19" fillId="0" borderId="28" xfId="0" applyFont="1" applyBorder="1" applyProtection="1"/>
    <xf numFmtId="164" fontId="20" fillId="0" borderId="7" xfId="0" applyNumberFormat="1" applyFont="1" applyFill="1" applyBorder="1" applyAlignment="1" applyProtection="1">
      <alignment horizontal="right"/>
    </xf>
    <xf numFmtId="0" fontId="11" fillId="0" borderId="7" xfId="0" applyFont="1" applyBorder="1" applyProtection="1"/>
    <xf numFmtId="2" fontId="19" fillId="0" borderId="7" xfId="0" applyNumberFormat="1" applyFont="1" applyBorder="1" applyProtection="1"/>
    <xf numFmtId="164" fontId="20" fillId="0" borderId="7" xfId="0" applyNumberFormat="1" applyFont="1" applyFill="1" applyBorder="1" applyProtection="1"/>
    <xf numFmtId="0" fontId="19" fillId="0" borderId="11" xfId="0" applyFont="1" applyBorder="1" applyProtection="1"/>
    <xf numFmtId="164" fontId="20" fillId="0" borderId="0" xfId="0" applyNumberFormat="1" applyFont="1" applyFill="1" applyBorder="1" applyAlignment="1" applyProtection="1">
      <alignment horizontal="right"/>
    </xf>
    <xf numFmtId="164" fontId="20" fillId="0" borderId="0" xfId="0" applyNumberFormat="1" applyFont="1" applyFill="1" applyBorder="1" applyProtection="1"/>
    <xf numFmtId="10" fontId="12" fillId="0" borderId="30" xfId="0" applyNumberFormat="1" applyFont="1" applyBorder="1" applyAlignment="1" applyProtection="1">
      <alignment horizontal="center"/>
    </xf>
    <xf numFmtId="0" fontId="22" fillId="0" borderId="23" xfId="0" applyFont="1" applyBorder="1" applyProtection="1"/>
    <xf numFmtId="0" fontId="22" fillId="0" borderId="24" xfId="0" applyFont="1" applyBorder="1" applyProtection="1"/>
    <xf numFmtId="0" fontId="2" fillId="0" borderId="24" xfId="0" applyFont="1" applyBorder="1" applyProtection="1"/>
    <xf numFmtId="0" fontId="2" fillId="0" borderId="24" xfId="0" applyFont="1" applyBorder="1" applyAlignment="1" applyProtection="1">
      <alignment horizontal="centerContinuous"/>
    </xf>
    <xf numFmtId="0" fontId="12" fillId="0" borderId="24" xfId="0" applyFont="1" applyBorder="1" applyAlignment="1" applyProtection="1">
      <alignment horizontal="center"/>
    </xf>
    <xf numFmtId="0" fontId="12" fillId="0" borderId="25" xfId="0" applyFont="1" applyBorder="1" applyAlignment="1" applyProtection="1">
      <alignment horizontal="center"/>
    </xf>
    <xf numFmtId="164" fontId="23" fillId="0" borderId="26" xfId="0" applyNumberFormat="1" applyFont="1" applyBorder="1" applyAlignment="1" applyProtection="1">
      <alignment horizontal="center"/>
    </xf>
    <xf numFmtId="0" fontId="29" fillId="3" borderId="20" xfId="0" applyFont="1" applyFill="1" applyBorder="1" applyProtection="1"/>
    <xf numFmtId="0" fontId="22" fillId="3" borderId="0" xfId="0" applyFont="1" applyFill="1" applyBorder="1" applyProtection="1"/>
    <xf numFmtId="0" fontId="2" fillId="3" borderId="0" xfId="0" applyFont="1" applyFill="1" applyBorder="1" applyProtection="1"/>
    <xf numFmtId="0" fontId="2" fillId="3" borderId="0" xfId="0" applyFont="1" applyFill="1" applyBorder="1" applyAlignment="1" applyProtection="1">
      <alignment horizontal="centerContinuous"/>
    </xf>
    <xf numFmtId="0" fontId="12" fillId="3" borderId="0" xfId="0" applyFont="1" applyFill="1" applyBorder="1" applyAlignment="1" applyProtection="1">
      <alignment horizontal="center"/>
    </xf>
    <xf numFmtId="10" fontId="12" fillId="3" borderId="21" xfId="0" applyNumberFormat="1" applyFont="1" applyFill="1" applyBorder="1" applyAlignment="1" applyProtection="1">
      <alignment horizontal="center"/>
    </xf>
    <xf numFmtId="0" fontId="12" fillId="3" borderId="21" xfId="0" applyFont="1" applyFill="1" applyBorder="1" applyAlignment="1" applyProtection="1">
      <alignment horizontal="center"/>
    </xf>
    <xf numFmtId="164" fontId="23" fillId="3" borderId="22" xfId="0" applyNumberFormat="1" applyFont="1" applyFill="1" applyBorder="1" applyAlignment="1" applyProtection="1">
      <alignment horizontal="center"/>
    </xf>
    <xf numFmtId="164" fontId="20" fillId="0" borderId="0" xfId="0" applyNumberFormat="1" applyFont="1" applyAlignment="1" applyProtection="1">
      <alignment horizontal="right"/>
    </xf>
    <xf numFmtId="0" fontId="15" fillId="0" borderId="20" xfId="0" applyFont="1" applyBorder="1" applyAlignment="1" applyProtection="1">
      <alignment horizontal="left"/>
    </xf>
    <xf numFmtId="0" fontId="13" fillId="0" borderId="20" xfId="0" applyFont="1" applyBorder="1" applyAlignment="1" applyProtection="1">
      <alignment horizontal="left"/>
    </xf>
    <xf numFmtId="164" fontId="20" fillId="0" borderId="0" xfId="0" applyNumberFormat="1" applyFont="1" applyBorder="1" applyAlignment="1" applyProtection="1">
      <alignment horizontal="right"/>
    </xf>
    <xf numFmtId="0" fontId="29" fillId="3" borderId="23" xfId="0" applyFont="1" applyFill="1" applyBorder="1" applyProtection="1"/>
    <xf numFmtId="0" fontId="22" fillId="3" borderId="24" xfId="0" applyFont="1" applyFill="1" applyBorder="1" applyProtection="1"/>
    <xf numFmtId="0" fontId="2" fillId="3" borderId="24" xfId="0" applyFont="1" applyFill="1" applyBorder="1" applyProtection="1"/>
    <xf numFmtId="0" fontId="2" fillId="3" borderId="29" xfId="0" applyFont="1" applyFill="1" applyBorder="1" applyAlignment="1" applyProtection="1">
      <alignment horizontal="centerContinuous"/>
    </xf>
    <xf numFmtId="0" fontId="12" fillId="3" borderId="32" xfId="0" applyFont="1" applyFill="1" applyBorder="1" applyAlignment="1" applyProtection="1">
      <alignment horizontal="center"/>
    </xf>
    <xf numFmtId="0" fontId="12" fillId="3" borderId="33" xfId="0" applyFont="1" applyFill="1" applyBorder="1" applyAlignment="1" applyProtection="1">
      <alignment horizontal="center"/>
    </xf>
    <xf numFmtId="164" fontId="23" fillId="3" borderId="34" xfId="0" applyNumberFormat="1" applyFont="1" applyFill="1" applyBorder="1" applyAlignment="1" applyProtection="1">
      <alignment horizontal="center"/>
    </xf>
    <xf numFmtId="0" fontId="12" fillId="0" borderId="30" xfId="0" applyFont="1" applyBorder="1" applyAlignment="1" applyProtection="1">
      <alignment horizontal="center"/>
    </xf>
    <xf numFmtId="164" fontId="23" fillId="0" borderId="31" xfId="0" applyNumberFormat="1" applyFont="1" applyBorder="1" applyAlignment="1" applyProtection="1">
      <alignment horizontal="center"/>
    </xf>
    <xf numFmtId="0" fontId="25" fillId="0" borderId="14" xfId="0" applyFont="1" applyBorder="1" applyProtection="1"/>
    <xf numFmtId="0" fontId="25" fillId="0" borderId="9" xfId="0" applyFont="1" applyBorder="1" applyProtection="1"/>
    <xf numFmtId="164" fontId="20" fillId="0" borderId="9" xfId="0" applyNumberFormat="1" applyFont="1" applyBorder="1" applyAlignment="1" applyProtection="1">
      <alignment horizontal="right"/>
    </xf>
    <xf numFmtId="0" fontId="11" fillId="0" borderId="9" xfId="0" applyFont="1" applyBorder="1" applyProtection="1"/>
    <xf numFmtId="2" fontId="19" fillId="0" borderId="9" xfId="0" applyNumberFormat="1" applyFont="1" applyBorder="1" applyProtection="1"/>
    <xf numFmtId="0" fontId="19" fillId="0" borderId="15" xfId="0" applyFont="1" applyBorder="1" applyProtection="1"/>
    <xf numFmtId="0" fontId="38" fillId="0" borderId="0" xfId="0" applyFont="1" applyBorder="1" applyProtection="1"/>
    <xf numFmtId="0" fontId="39" fillId="0" borderId="0" xfId="0" applyFont="1" applyBorder="1" applyProtection="1"/>
    <xf numFmtId="0" fontId="26" fillId="0" borderId="0" xfId="0" applyFont="1" applyBorder="1" applyProtection="1"/>
    <xf numFmtId="0" fontId="13" fillId="0" borderId="0" xfId="0" applyFont="1" applyBorder="1" applyProtection="1"/>
    <xf numFmtId="0" fontId="10" fillId="0" borderId="0" xfId="0" applyFont="1" applyBorder="1" applyAlignment="1" applyProtection="1">
      <alignment horizontal="right"/>
    </xf>
    <xf numFmtId="0" fontId="36" fillId="14" borderId="0" xfId="0" applyFont="1" applyFill="1" applyBorder="1" applyProtection="1"/>
    <xf numFmtId="0" fontId="42" fillId="14" borderId="0" xfId="0" applyFont="1" applyFill="1" applyBorder="1" applyProtection="1"/>
    <xf numFmtId="0" fontId="36" fillId="0" borderId="0" xfId="0" applyFont="1" applyBorder="1" applyProtection="1"/>
    <xf numFmtId="0" fontId="41" fillId="0" borderId="0" xfId="0" applyFont="1" applyBorder="1" applyProtection="1"/>
    <xf numFmtId="0" fontId="14" fillId="0" borderId="0" xfId="0" applyFont="1" applyBorder="1" applyProtection="1"/>
    <xf numFmtId="0" fontId="16" fillId="0" borderId="0" xfId="0" applyFont="1" applyBorder="1" applyProtection="1"/>
    <xf numFmtId="0" fontId="17" fillId="0" borderId="0" xfId="0" applyFont="1" applyBorder="1" applyProtection="1"/>
    <xf numFmtId="0" fontId="19" fillId="0" borderId="0" xfId="0" applyFont="1" applyBorder="1" applyAlignment="1" applyProtection="1">
      <alignment horizontal="right"/>
    </xf>
    <xf numFmtId="0" fontId="32" fillId="0" borderId="0" xfId="0" applyFont="1" applyProtection="1"/>
    <xf numFmtId="0" fontId="16" fillId="0" borderId="0" xfId="0" applyFont="1" applyBorder="1" applyAlignment="1" applyProtection="1">
      <alignment horizontal="right"/>
    </xf>
    <xf numFmtId="2" fontId="20" fillId="0" borderId="0" xfId="0" applyNumberFormat="1" applyFont="1" applyBorder="1" applyAlignment="1" applyProtection="1">
      <alignment horizontal="right"/>
    </xf>
    <xf numFmtId="0" fontId="21" fillId="0" borderId="0" xfId="0" applyFont="1" applyBorder="1" applyAlignment="1" applyProtection="1">
      <alignment horizontal="right"/>
    </xf>
    <xf numFmtId="0" fontId="15" fillId="0" borderId="0" xfId="0" applyFont="1" applyProtection="1"/>
    <xf numFmtId="164" fontId="20" fillId="0" borderId="0" xfId="0" quotePrefix="1" applyNumberFormat="1" applyFont="1" applyBorder="1" applyAlignment="1" applyProtection="1">
      <alignment horizontal="right"/>
    </xf>
    <xf numFmtId="0" fontId="21" fillId="0" borderId="12" xfId="0" applyFont="1" applyBorder="1" applyProtection="1"/>
    <xf numFmtId="1" fontId="19" fillId="0" borderId="0" xfId="0" applyNumberFormat="1" applyFont="1" applyBorder="1" applyAlignment="1" applyProtection="1">
      <alignment horizontal="right"/>
    </xf>
    <xf numFmtId="164" fontId="20" fillId="0" borderId="0" xfId="0" quotePrefix="1" applyNumberFormat="1" applyFont="1" applyBorder="1" applyAlignment="1" applyProtection="1">
      <alignment horizontal="center"/>
    </xf>
    <xf numFmtId="0" fontId="16" fillId="0" borderId="0" xfId="0" applyFont="1" applyFill="1" applyBorder="1" applyProtection="1"/>
    <xf numFmtId="0" fontId="11" fillId="0" borderId="0" xfId="0" applyFont="1" applyBorder="1" applyAlignment="1" applyProtection="1">
      <alignment horizontal="right"/>
    </xf>
    <xf numFmtId="0" fontId="20" fillId="0" borderId="0" xfId="0" applyFont="1" applyBorder="1" applyProtection="1"/>
    <xf numFmtId="0" fontId="27" fillId="0" borderId="0" xfId="0" applyFont="1" applyProtection="1"/>
    <xf numFmtId="0" fontId="17" fillId="0" borderId="0" xfId="0" applyFont="1" applyProtection="1"/>
    <xf numFmtId="0" fontId="16" fillId="0" borderId="0" xfId="0" applyFont="1" applyProtection="1"/>
    <xf numFmtId="164" fontId="44" fillId="0" borderId="0" xfId="0" applyNumberFormat="1" applyFont="1" applyBorder="1" applyAlignment="1" applyProtection="1">
      <alignment horizontal="center"/>
    </xf>
    <xf numFmtId="164" fontId="43" fillId="0" borderId="0" xfId="0" applyNumberFormat="1" applyFont="1" applyBorder="1" applyProtection="1"/>
    <xf numFmtId="0" fontId="28" fillId="0" borderId="0" xfId="0" applyFont="1" applyProtection="1"/>
    <xf numFmtId="0" fontId="36" fillId="0" borderId="0" xfId="0" applyFont="1" applyProtection="1"/>
    <xf numFmtId="0" fontId="37" fillId="0" borderId="0" xfId="0" applyFont="1" applyBorder="1" applyProtection="1"/>
    <xf numFmtId="10" fontId="12" fillId="0" borderId="45" xfId="0" applyNumberFormat="1" applyFont="1" applyBorder="1" applyAlignment="1" applyProtection="1">
      <alignment horizontal="center"/>
    </xf>
    <xf numFmtId="0" fontId="36" fillId="14" borderId="0" xfId="0" applyFont="1" applyFill="1" applyProtection="1"/>
    <xf numFmtId="164" fontId="43" fillId="0" borderId="0" xfId="0" applyNumberFormat="1" applyFont="1" applyProtection="1"/>
    <xf numFmtId="0" fontId="47" fillId="0" borderId="0" xfId="0" applyFont="1" applyBorder="1" applyProtection="1"/>
    <xf numFmtId="0" fontId="22" fillId="0" borderId="32" xfId="0" applyFont="1" applyBorder="1" applyProtection="1"/>
    <xf numFmtId="0" fontId="2" fillId="0" borderId="32" xfId="0" applyFont="1" applyBorder="1" applyProtection="1"/>
    <xf numFmtId="0" fontId="2" fillId="0" borderId="60" xfId="0" applyFont="1" applyBorder="1" applyAlignment="1" applyProtection="1">
      <alignment horizontal="centerContinuous"/>
    </xf>
    <xf numFmtId="0" fontId="2" fillId="0" borderId="61" xfId="0" applyFont="1" applyBorder="1" applyAlignment="1" applyProtection="1">
      <alignment horizontal="centerContinuous"/>
    </xf>
    <xf numFmtId="14" fontId="23" fillId="11" borderId="5" xfId="0" applyNumberFormat="1" applyFont="1" applyFill="1" applyBorder="1" applyAlignment="1" applyProtection="1">
      <alignment horizontal="left"/>
      <protection locked="0"/>
    </xf>
    <xf numFmtId="164" fontId="23" fillId="11" borderId="62" xfId="0" applyNumberFormat="1" applyFont="1" applyFill="1" applyBorder="1" applyAlignment="1" applyProtection="1">
      <alignment horizontal="center"/>
      <protection locked="0"/>
    </xf>
    <xf numFmtId="164" fontId="23" fillId="11" borderId="63" xfId="0" applyNumberFormat="1" applyFont="1" applyFill="1" applyBorder="1" applyAlignment="1" applyProtection="1">
      <alignment horizontal="center"/>
      <protection locked="0"/>
    </xf>
    <xf numFmtId="0" fontId="23" fillId="3" borderId="62" xfId="0" applyFont="1" applyFill="1" applyBorder="1" applyAlignment="1" applyProtection="1">
      <alignment horizontal="center"/>
      <protection locked="0"/>
    </xf>
    <xf numFmtId="0" fontId="7" fillId="12" borderId="0" xfId="0" applyFont="1" applyFill="1" applyAlignment="1" applyProtection="1">
      <alignment horizontal="left" vertical="center" wrapText="1"/>
    </xf>
    <xf numFmtId="0" fontId="3" fillId="3" borderId="2" xfId="0" applyFont="1" applyFill="1" applyBorder="1" applyAlignment="1" applyProtection="1">
      <alignment horizontal="center"/>
    </xf>
    <xf numFmtId="0" fontId="33" fillId="15" borderId="0" xfId="0" applyFont="1" applyFill="1" applyAlignment="1" applyProtection="1">
      <alignment horizontal="center" wrapText="1"/>
      <protection locked="0"/>
    </xf>
    <xf numFmtId="0" fontId="35" fillId="12" borderId="0" xfId="0" applyFont="1" applyFill="1" applyAlignment="1" applyProtection="1">
      <alignment horizontal="left" wrapText="1"/>
    </xf>
    <xf numFmtId="0" fontId="8" fillId="2" borderId="0" xfId="0" applyFont="1" applyFill="1" applyBorder="1" applyAlignment="1" applyProtection="1">
      <alignment horizontal="left" vertical="center" wrapText="1"/>
    </xf>
    <xf numFmtId="0" fontId="6" fillId="6" borderId="35" xfId="0" applyFont="1" applyFill="1" applyBorder="1" applyAlignment="1" applyProtection="1">
      <alignment horizontal="center"/>
    </xf>
    <xf numFmtId="0" fontId="5" fillId="2" borderId="0" xfId="0" applyFont="1" applyFill="1" applyAlignment="1" applyProtection="1">
      <alignment horizontal="left" wrapText="1"/>
    </xf>
    <xf numFmtId="0" fontId="42" fillId="0" borderId="0" xfId="0" applyFont="1" applyBorder="1" applyAlignment="1" applyProtection="1">
      <alignment horizontal="left"/>
    </xf>
    <xf numFmtId="0" fontId="12" fillId="0" borderId="46" xfId="0" applyFont="1" applyBorder="1" applyAlignment="1" applyProtection="1">
      <alignment horizontal="center" wrapText="1"/>
    </xf>
    <xf numFmtId="0" fontId="12" fillId="0" borderId="47" xfId="0" applyFont="1" applyBorder="1" applyAlignment="1" applyProtection="1">
      <alignment horizontal="center" wrapText="1"/>
    </xf>
    <xf numFmtId="0" fontId="12" fillId="0" borderId="48" xfId="0" applyFont="1" applyBorder="1" applyAlignment="1" applyProtection="1">
      <alignment horizontal="center" wrapText="1"/>
    </xf>
    <xf numFmtId="0" fontId="12" fillId="0" borderId="49" xfId="0" applyFont="1" applyBorder="1" applyAlignment="1" applyProtection="1">
      <alignment horizontal="center" wrapText="1"/>
    </xf>
    <xf numFmtId="0" fontId="12" fillId="0" borderId="50" xfId="0" applyFont="1" applyBorder="1" applyAlignment="1" applyProtection="1">
      <alignment horizontal="center" wrapText="1"/>
    </xf>
    <xf numFmtId="0" fontId="12" fillId="0" borderId="51" xfId="0" applyFont="1" applyBorder="1" applyAlignment="1" applyProtection="1">
      <alignment horizontal="center" wrapText="1"/>
    </xf>
    <xf numFmtId="164" fontId="6" fillId="2" borderId="52" xfId="0" applyNumberFormat="1" applyFont="1" applyFill="1" applyBorder="1" applyAlignment="1" applyProtection="1">
      <alignment horizontal="center"/>
    </xf>
    <xf numFmtId="164" fontId="6" fillId="2" borderId="53" xfId="0" applyNumberFormat="1" applyFont="1" applyFill="1" applyBorder="1" applyAlignment="1" applyProtection="1">
      <alignment horizontal="center"/>
    </xf>
    <xf numFmtId="164" fontId="6" fillId="2" borderId="54" xfId="0" applyNumberFormat="1" applyFont="1" applyFill="1" applyBorder="1" applyAlignment="1" applyProtection="1">
      <alignment horizontal="center"/>
    </xf>
    <xf numFmtId="0" fontId="6" fillId="0" borderId="55" xfId="0" applyFont="1" applyFill="1" applyBorder="1" applyAlignment="1" applyProtection="1">
      <alignment horizontal="center"/>
    </xf>
    <xf numFmtId="0" fontId="6" fillId="0" borderId="56" xfId="0" applyFont="1" applyFill="1" applyBorder="1" applyAlignment="1" applyProtection="1">
      <alignment horizontal="center"/>
    </xf>
    <xf numFmtId="0" fontId="6" fillId="0" borderId="52" xfId="0" applyFont="1" applyFill="1" applyBorder="1" applyAlignment="1" applyProtection="1">
      <alignment horizontal="center"/>
    </xf>
    <xf numFmtId="164" fontId="6" fillId="2" borderId="3" xfId="0" applyNumberFormat="1" applyFont="1" applyFill="1" applyBorder="1" applyAlignment="1" applyProtection="1">
      <alignment horizontal="center"/>
    </xf>
    <xf numFmtId="164" fontId="6" fillId="10" borderId="57" xfId="0" applyNumberFormat="1" applyFont="1" applyFill="1" applyBorder="1" applyAlignment="1" applyProtection="1">
      <alignment horizontal="center" vertical="center"/>
    </xf>
    <xf numFmtId="164" fontId="6" fillId="10" borderId="58" xfId="0" applyNumberFormat="1" applyFont="1" applyFill="1" applyBorder="1" applyAlignment="1" applyProtection="1">
      <alignment horizontal="center" vertical="center"/>
    </xf>
    <xf numFmtId="0" fontId="6" fillId="10" borderId="59" xfId="0" applyFont="1" applyFill="1" applyBorder="1" applyAlignment="1" applyProtection="1">
      <alignment horizontal="center"/>
    </xf>
    <xf numFmtId="164" fontId="6" fillId="10" borderId="55" xfId="0" applyNumberFormat="1" applyFont="1" applyFill="1" applyBorder="1" applyAlignment="1" applyProtection="1">
      <alignment horizontal="center"/>
    </xf>
    <xf numFmtId="164" fontId="6" fillId="10" borderId="56" xfId="0" applyNumberFormat="1" applyFont="1" applyFill="1" applyBorder="1" applyAlignment="1" applyProtection="1">
      <alignment horizontal="center"/>
    </xf>
    <xf numFmtId="164" fontId="6" fillId="10" borderId="52" xfId="0" applyNumberFormat="1" applyFont="1" applyFill="1" applyBorder="1" applyAlignment="1" applyProtection="1">
      <alignment horizontal="center"/>
    </xf>
    <xf numFmtId="164" fontId="6" fillId="10" borderId="3" xfId="0" applyNumberFormat="1" applyFont="1" applyFill="1" applyBorder="1" applyAlignment="1" applyProtection="1">
      <alignment horizontal="center"/>
    </xf>
    <xf numFmtId="0" fontId="7" fillId="10" borderId="3" xfId="0" applyFont="1" applyFill="1" applyBorder="1" applyAlignment="1" applyProtection="1">
      <alignment horizontal="center"/>
    </xf>
    <xf numFmtId="0" fontId="7" fillId="2" borderId="0" xfId="0" applyFont="1" applyFill="1" applyAlignment="1" applyProtection="1">
      <alignment wrapText="1"/>
    </xf>
    <xf numFmtId="0" fontId="7" fillId="0" borderId="0" xfId="0" applyFont="1" applyAlignment="1">
      <alignment wrapText="1"/>
    </xf>
    <xf numFmtId="0" fontId="3" fillId="3" borderId="2" xfId="0" applyFont="1" applyFill="1" applyBorder="1" applyAlignment="1" applyProtection="1">
      <alignment horizontal="left"/>
    </xf>
    <xf numFmtId="0" fontId="48" fillId="13" borderId="0" xfId="0" applyFont="1" applyFill="1" applyAlignment="1">
      <alignment horizontal="center"/>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5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%TEM Restricted profile</a:t>
            </a:r>
          </a:p>
          <a:p>
            <a:pPr>
              <a:defRPr sz="185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%ETM Perfil restringido</a:t>
            </a:r>
          </a:p>
        </c:rich>
      </c:tx>
      <c:layout>
        <c:manualLayout>
          <c:xMode val="edge"/>
          <c:yMode val="edge"/>
          <c:x val="0.36222104423028817"/>
          <c:y val="3.7359839737347314E-2"/>
        </c:manualLayout>
      </c:layout>
      <c:overlay val="0"/>
      <c:spPr>
        <a:noFill/>
        <a:ln w="25400">
          <a:noFill/>
        </a:ln>
      </c:spPr>
    </c:title>
    <c:autoTitleDeleted val="0"/>
    <c:plotArea>
      <c:layout>
        <c:manualLayout>
          <c:layoutTarget val="inner"/>
          <c:xMode val="edge"/>
          <c:yMode val="edge"/>
          <c:x val="9.0620031796502382E-2"/>
          <c:y val="0.20754726541645113"/>
          <c:w val="0.7791258162089495"/>
          <c:h val="0.36981149110567657"/>
        </c:manualLayout>
      </c:layout>
      <c:barChart>
        <c:barDir val="col"/>
        <c:grouping val="clustered"/>
        <c:varyColors val="0"/>
        <c:ser>
          <c:idx val="0"/>
          <c:order val="0"/>
          <c:tx>
            <c:strRef>
              <c:f>'Graph-Gráficos'!$B$40</c:f>
              <c:strCache>
                <c:ptCount val="1"/>
                <c:pt idx="0">
                  <c:v>Measured</c:v>
                </c:pt>
              </c:strCache>
            </c:strRef>
          </c:tx>
          <c:spPr>
            <a:solidFill>
              <a:srgbClr val="9999FF"/>
            </a:solidFill>
            <a:ln w="12700">
              <a:solidFill>
                <a:srgbClr val="000000"/>
              </a:solidFill>
              <a:prstDash val="solid"/>
            </a:ln>
          </c:spPr>
          <c:invertIfNegative val="0"/>
          <c:cat>
            <c:strRef>
              <c:f>'TEM-ICC-ETM-ICC'!$C$10:$C$30</c:f>
              <c:strCache>
                <c:ptCount val="21"/>
                <c:pt idx="0">
                  <c:v>Mass</c:v>
                </c:pt>
                <c:pt idx="1">
                  <c:v>Stature</c:v>
                </c:pt>
                <c:pt idx="2">
                  <c:v>Sitting height</c:v>
                </c:pt>
                <c:pt idx="3">
                  <c:v>Arm Span</c:v>
                </c:pt>
                <c:pt idx="4">
                  <c:v>Triceps sf</c:v>
                </c:pt>
                <c:pt idx="5">
                  <c:v>Subscapular sf</c:v>
                </c:pt>
                <c:pt idx="6">
                  <c:v>Biceps sf</c:v>
                </c:pt>
                <c:pt idx="7">
                  <c:v>Iliac crest sf</c:v>
                </c:pt>
                <c:pt idx="8">
                  <c:v>Supraspinale sf</c:v>
                </c:pt>
                <c:pt idx="9">
                  <c:v>Abdominal sf</c:v>
                </c:pt>
                <c:pt idx="10">
                  <c:v>Thigh sf</c:v>
                </c:pt>
                <c:pt idx="11">
                  <c:v>Calf sf</c:v>
                </c:pt>
                <c:pt idx="12">
                  <c:v>Arm girth relaxed</c:v>
                </c:pt>
                <c:pt idx="13">
                  <c:v>Arm girth flexed and tensed</c:v>
                </c:pt>
                <c:pt idx="14">
                  <c:v>Waist girth</c:v>
                </c:pt>
                <c:pt idx="15">
                  <c:v>Hips girth</c:v>
                </c:pt>
                <c:pt idx="16">
                  <c:v>Thigh middle girth</c:v>
                </c:pt>
                <c:pt idx="17">
                  <c:v>Calf girth</c:v>
                </c:pt>
                <c:pt idx="18">
                  <c:v>Humerus breadth</c:v>
                </c:pt>
                <c:pt idx="19">
                  <c:v>Bi-styloid breadth</c:v>
                </c:pt>
                <c:pt idx="20">
                  <c:v>Femur breadth</c:v>
                </c:pt>
              </c:strCache>
            </c:strRef>
          </c:cat>
          <c:val>
            <c:numRef>
              <c:f>'TEM-ICC-ETM-ICC'!$N$10:$N$30</c:f>
              <c:numCache>
                <c:formatCode>0.00</c:formatCode>
                <c:ptCount val="21"/>
                <c:pt idx="0">
                  <c:v>3.1624358018378998E-2</c:v>
                </c:pt>
                <c:pt idx="1">
                  <c:v>0</c:v>
                </c:pt>
                <c:pt idx="2">
                  <c:v>0</c:v>
                </c:pt>
                <c:pt idx="3">
                  <c:v>7.7879021242470425E-2</c:v>
                </c:pt>
                <c:pt idx="4">
                  <c:v>8.7800705793975062</c:v>
                </c:pt>
                <c:pt idx="5">
                  <c:v>3.9040464940350361</c:v>
                </c:pt>
                <c:pt idx="6">
                  <c:v>7.1062419329626501</c:v>
                </c:pt>
                <c:pt idx="7">
                  <c:v>5.9701492537313436</c:v>
                </c:pt>
                <c:pt idx="8">
                  <c:v>2.2832329676305987</c:v>
                </c:pt>
                <c:pt idx="9">
                  <c:v>5.5236291007307941</c:v>
                </c:pt>
                <c:pt idx="10">
                  <c:v>10.780492023301292</c:v>
                </c:pt>
                <c:pt idx="11">
                  <c:v>13.456500681567571</c:v>
                </c:pt>
                <c:pt idx="12">
                  <c:v>0.6084722828928405</c:v>
                </c:pt>
                <c:pt idx="13">
                  <c:v>0.12194650014731905</c:v>
                </c:pt>
                <c:pt idx="14">
                  <c:v>0.46344144607054943</c:v>
                </c:pt>
                <c:pt idx="15">
                  <c:v>0.80294930438343459</c:v>
                </c:pt>
                <c:pt idx="16">
                  <c:v>1.1297399547556277</c:v>
                </c:pt>
                <c:pt idx="17">
                  <c:v>0.55722954364200517</c:v>
                </c:pt>
                <c:pt idx="18">
                  <c:v>0</c:v>
                </c:pt>
                <c:pt idx="19">
                  <c:v>0</c:v>
                </c:pt>
                <c:pt idx="20">
                  <c:v>0</c:v>
                </c:pt>
              </c:numCache>
            </c:numRef>
          </c:val>
          <c:extLst>
            <c:ext xmlns:c16="http://schemas.microsoft.com/office/drawing/2014/chart" uri="{C3380CC4-5D6E-409C-BE32-E72D297353CC}">
              <c16:uniqueId val="{00000000-DEA7-40AB-8455-9D81F963C4B9}"/>
            </c:ext>
          </c:extLst>
        </c:ser>
        <c:ser>
          <c:idx val="1"/>
          <c:order val="1"/>
          <c:tx>
            <c:strRef>
              <c:f>'Graph-Gráficos'!$B$41</c:f>
              <c:strCache>
                <c:ptCount val="1"/>
                <c:pt idx="0">
                  <c:v>Target</c:v>
                </c:pt>
              </c:strCache>
            </c:strRef>
          </c:tx>
          <c:spPr>
            <a:solidFill>
              <a:srgbClr val="FCF305"/>
            </a:solidFill>
            <a:ln w="12700">
              <a:solidFill>
                <a:srgbClr val="000000"/>
              </a:solidFill>
              <a:prstDash val="solid"/>
            </a:ln>
          </c:spPr>
          <c:invertIfNegative val="0"/>
          <c:cat>
            <c:strRef>
              <c:f>'TEM-ICC-ETM-ICC'!$C$10:$C$30</c:f>
              <c:strCache>
                <c:ptCount val="21"/>
                <c:pt idx="0">
                  <c:v>Mass</c:v>
                </c:pt>
                <c:pt idx="1">
                  <c:v>Stature</c:v>
                </c:pt>
                <c:pt idx="2">
                  <c:v>Sitting height</c:v>
                </c:pt>
                <c:pt idx="3">
                  <c:v>Arm Span</c:v>
                </c:pt>
                <c:pt idx="4">
                  <c:v>Triceps sf</c:v>
                </c:pt>
                <c:pt idx="5">
                  <c:v>Subscapular sf</c:v>
                </c:pt>
                <c:pt idx="6">
                  <c:v>Biceps sf</c:v>
                </c:pt>
                <c:pt idx="7">
                  <c:v>Iliac crest sf</c:v>
                </c:pt>
                <c:pt idx="8">
                  <c:v>Supraspinale sf</c:v>
                </c:pt>
                <c:pt idx="9">
                  <c:v>Abdominal sf</c:v>
                </c:pt>
                <c:pt idx="10">
                  <c:v>Thigh sf</c:v>
                </c:pt>
                <c:pt idx="11">
                  <c:v>Calf sf</c:v>
                </c:pt>
                <c:pt idx="12">
                  <c:v>Arm girth relaxed</c:v>
                </c:pt>
                <c:pt idx="13">
                  <c:v>Arm girth flexed and tensed</c:v>
                </c:pt>
                <c:pt idx="14">
                  <c:v>Waist girth</c:v>
                </c:pt>
                <c:pt idx="15">
                  <c:v>Hips girth</c:v>
                </c:pt>
                <c:pt idx="16">
                  <c:v>Thigh middle girth</c:v>
                </c:pt>
                <c:pt idx="17">
                  <c:v>Calf girth</c:v>
                </c:pt>
                <c:pt idx="18">
                  <c:v>Humerus breadth</c:v>
                </c:pt>
                <c:pt idx="19">
                  <c:v>Bi-styloid breadth</c:v>
                </c:pt>
                <c:pt idx="20">
                  <c:v>Femur breadth</c:v>
                </c:pt>
              </c:strCache>
            </c:strRef>
          </c:cat>
          <c:val>
            <c:numRef>
              <c:f>'TEM-ICC-ETM-ICC'!$Q$10:$Q$30</c:f>
              <c:numCache>
                <c:formatCode>General</c:formatCode>
                <c:ptCount val="21"/>
                <c:pt idx="0">
                  <c:v>1.5</c:v>
                </c:pt>
                <c:pt idx="1">
                  <c:v>1.5</c:v>
                </c:pt>
                <c:pt idx="2">
                  <c:v>1.5</c:v>
                </c:pt>
                <c:pt idx="3">
                  <c:v>1.5</c:v>
                </c:pt>
                <c:pt idx="4">
                  <c:v>7.5</c:v>
                </c:pt>
                <c:pt idx="5">
                  <c:v>7.5</c:v>
                </c:pt>
                <c:pt idx="6">
                  <c:v>7.5</c:v>
                </c:pt>
                <c:pt idx="7">
                  <c:v>7.5</c:v>
                </c:pt>
                <c:pt idx="8">
                  <c:v>7.5</c:v>
                </c:pt>
                <c:pt idx="9">
                  <c:v>7.5</c:v>
                </c:pt>
                <c:pt idx="10">
                  <c:v>7.5</c:v>
                </c:pt>
                <c:pt idx="11">
                  <c:v>7.5</c:v>
                </c:pt>
                <c:pt idx="12">
                  <c:v>1.5</c:v>
                </c:pt>
                <c:pt idx="13">
                  <c:v>1.5</c:v>
                </c:pt>
                <c:pt idx="14">
                  <c:v>1.5</c:v>
                </c:pt>
                <c:pt idx="15">
                  <c:v>1.5</c:v>
                </c:pt>
                <c:pt idx="16">
                  <c:v>1.5</c:v>
                </c:pt>
                <c:pt idx="17">
                  <c:v>1.5</c:v>
                </c:pt>
                <c:pt idx="18">
                  <c:v>1.5</c:v>
                </c:pt>
                <c:pt idx="19">
                  <c:v>1.5</c:v>
                </c:pt>
                <c:pt idx="20">
                  <c:v>1.5</c:v>
                </c:pt>
              </c:numCache>
            </c:numRef>
          </c:val>
          <c:extLst>
            <c:ext xmlns:c16="http://schemas.microsoft.com/office/drawing/2014/chart" uri="{C3380CC4-5D6E-409C-BE32-E72D297353CC}">
              <c16:uniqueId val="{00000001-DEA7-40AB-8455-9D81F963C4B9}"/>
            </c:ext>
          </c:extLst>
        </c:ser>
        <c:dLbls>
          <c:showLegendKey val="0"/>
          <c:showVal val="0"/>
          <c:showCatName val="0"/>
          <c:showSerName val="0"/>
          <c:showPercent val="0"/>
          <c:showBubbleSize val="0"/>
        </c:dLbls>
        <c:gapWidth val="150"/>
        <c:axId val="466673304"/>
        <c:axId val="1"/>
      </c:barChart>
      <c:catAx>
        <c:axId val="466673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s-PE"/>
          </a:p>
        </c:txPr>
        <c:crossAx val="1"/>
        <c:crosses val="autoZero"/>
        <c:auto val="1"/>
        <c:lblAlgn val="ctr"/>
        <c:lblOffset val="100"/>
        <c:tickLblSkip val="1"/>
        <c:tickMarkSkip val="1"/>
        <c:noMultiLvlLbl val="0"/>
      </c:catAx>
      <c:valAx>
        <c:axId val="1"/>
        <c:scaling>
          <c:orientation val="minMax"/>
          <c:max val="10"/>
          <c:min val="0"/>
        </c:scaling>
        <c:delete val="0"/>
        <c:axPos val="l"/>
        <c:majorGridlines>
          <c:spPr>
            <a:ln w="3175">
              <a:solidFill>
                <a:srgbClr val="000000"/>
              </a:solidFill>
              <a:prstDash val="solid"/>
            </a:ln>
          </c:spPr>
        </c:majorGridlines>
        <c:title>
          <c:tx>
            <c:rich>
              <a:bodyPr/>
              <a:lstStyle/>
              <a:p>
                <a:pPr>
                  <a:defRPr sz="1125" b="1" i="0" u="none" strike="noStrike" baseline="0">
                    <a:solidFill>
                      <a:srgbClr val="000000"/>
                    </a:solidFill>
                    <a:latin typeface="Arial"/>
                    <a:ea typeface="Arial"/>
                    <a:cs typeface="Arial"/>
                  </a:defRPr>
                </a:pPr>
                <a:r>
                  <a:rPr lang="en-NZ"/>
                  <a:t>% TEM; % ETM</a:t>
                </a:r>
              </a:p>
            </c:rich>
          </c:tx>
          <c:layout>
            <c:manualLayout>
              <c:xMode val="edge"/>
              <c:yMode val="edge"/>
              <c:x val="4.133548548488928E-2"/>
              <c:y val="0.316981441807406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50" b="0" i="0" u="none" strike="noStrike" baseline="0">
                <a:solidFill>
                  <a:srgbClr val="000000"/>
                </a:solidFill>
                <a:latin typeface="Arial"/>
                <a:ea typeface="Arial"/>
                <a:cs typeface="Arial"/>
              </a:defRPr>
            </a:pPr>
            <a:endParaRPr lang="es-PE"/>
          </a:p>
        </c:txPr>
        <c:crossAx val="466673304"/>
        <c:crosses val="autoZero"/>
        <c:crossBetween val="between"/>
        <c:majorUnit val="1"/>
      </c:valAx>
      <c:spPr>
        <a:solidFill>
          <a:srgbClr val="C0C0C0"/>
        </a:solidFill>
        <a:ln w="12700">
          <a:solidFill>
            <a:srgbClr val="808080"/>
          </a:solidFill>
          <a:prstDash val="solid"/>
        </a:ln>
      </c:spPr>
    </c:plotArea>
    <c:legend>
      <c:legendPos val="r"/>
      <c:layout>
        <c:manualLayout>
          <c:xMode val="edge"/>
          <c:yMode val="edge"/>
          <c:x val="0.86876939791745256"/>
          <c:y val="0.39712073801056846"/>
          <c:w val="0.12512720836516"/>
          <c:h val="0.17078249354858641"/>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s-PE"/>
    </a:p>
  </c:txPr>
  <c:printSettings>
    <c:headerFooter alignWithMargins="0"/>
    <c:pageMargins b="1" l="0" r="0"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213360</xdr:colOff>
      <xdr:row>10</xdr:row>
      <xdr:rowOff>53340</xdr:rowOff>
    </xdr:from>
    <xdr:to>
      <xdr:col>11</xdr:col>
      <xdr:colOff>708660</xdr:colOff>
      <xdr:row>13</xdr:row>
      <xdr:rowOff>99060</xdr:rowOff>
    </xdr:to>
    <xdr:pic>
      <xdr:nvPicPr>
        <xdr:cNvPr id="84084" name="Imagen 4">
          <a:extLst>
            <a:ext uri="{FF2B5EF4-FFF2-40B4-BE49-F238E27FC236}">
              <a16:creationId xmlns:a16="http://schemas.microsoft.com/office/drawing/2014/main" id="{BA2B67B1-900B-41F9-84F2-6F1AEE773B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5760" y="1859280"/>
          <a:ext cx="1120140" cy="601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53340</xdr:colOff>
      <xdr:row>0</xdr:row>
      <xdr:rowOff>53340</xdr:rowOff>
    </xdr:from>
    <xdr:to>
      <xdr:col>12</xdr:col>
      <xdr:colOff>228600</xdr:colOff>
      <xdr:row>3</xdr:row>
      <xdr:rowOff>76200</xdr:rowOff>
    </xdr:to>
    <xdr:pic>
      <xdr:nvPicPr>
        <xdr:cNvPr id="85096" name="Imagen 3">
          <a:extLst>
            <a:ext uri="{FF2B5EF4-FFF2-40B4-BE49-F238E27FC236}">
              <a16:creationId xmlns:a16="http://schemas.microsoft.com/office/drawing/2014/main" id="{B06F80FB-3EFC-40F5-A0F1-B3C0F2424B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7900" y="53340"/>
          <a:ext cx="1120140"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446689</xdr:colOff>
      <xdr:row>37</xdr:row>
      <xdr:rowOff>106408</xdr:rowOff>
    </xdr:from>
    <xdr:to>
      <xdr:col>11</xdr:col>
      <xdr:colOff>41507</xdr:colOff>
      <xdr:row>59</xdr:row>
      <xdr:rowOff>139568</xdr:rowOff>
    </xdr:to>
    <xdr:pic>
      <xdr:nvPicPr>
        <xdr:cNvPr id="2" name="Imagen 1">
          <a:extLst>
            <a:ext uri="{FF2B5EF4-FFF2-40B4-BE49-F238E27FC236}">
              <a16:creationId xmlns:a16="http://schemas.microsoft.com/office/drawing/2014/main" id="{DB2AE073-23E8-4D1D-9B83-2B50C19A599A}"/>
            </a:ext>
          </a:extLst>
        </xdr:cNvPr>
        <xdr:cNvPicPr>
          <a:picLocks noChangeAspect="1"/>
        </xdr:cNvPicPr>
      </xdr:nvPicPr>
      <xdr:blipFill rotWithShape="1">
        <a:blip xmlns:r="http://schemas.openxmlformats.org/officeDocument/2006/relationships" r:embed="rId1"/>
        <a:srcRect l="28639" t="26956" r="16168" b="10676"/>
        <a:stretch/>
      </xdr:blipFill>
      <xdr:spPr>
        <a:xfrm>
          <a:off x="446689" y="8142536"/>
          <a:ext cx="5982648" cy="3735075"/>
        </a:xfrm>
        <a:prstGeom prst="rect">
          <a:avLst/>
        </a:prstGeom>
      </xdr:spPr>
    </xdr:pic>
    <xdr:clientData/>
  </xdr:twoCellAnchor>
  <xdr:twoCellAnchor editAs="oneCell">
    <xdr:from>
      <xdr:col>0</xdr:col>
      <xdr:colOff>376620</xdr:colOff>
      <xdr:row>59</xdr:row>
      <xdr:rowOff>105101</xdr:rowOff>
    </xdr:from>
    <xdr:to>
      <xdr:col>11</xdr:col>
      <xdr:colOff>262218</xdr:colOff>
      <xdr:row>70</xdr:row>
      <xdr:rowOff>105103</xdr:rowOff>
    </xdr:to>
    <xdr:pic>
      <xdr:nvPicPr>
        <xdr:cNvPr id="3" name="Picture 6" descr="Resultado de imagen para perimetro abdominal">
          <a:extLst>
            <a:ext uri="{FF2B5EF4-FFF2-40B4-BE49-F238E27FC236}">
              <a16:creationId xmlns:a16="http://schemas.microsoft.com/office/drawing/2014/main" id="{C06E9A2D-D84B-40FD-A8BD-7DE5A472BB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620" y="11867929"/>
          <a:ext cx="6279391" cy="1856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xdr:row>
      <xdr:rowOff>0</xdr:rowOff>
    </xdr:from>
    <xdr:to>
      <xdr:col>13</xdr:col>
      <xdr:colOff>236220</xdr:colOff>
      <xdr:row>27</xdr:row>
      <xdr:rowOff>15240</xdr:rowOff>
    </xdr:to>
    <xdr:graphicFrame macro="">
      <xdr:nvGraphicFramePr>
        <xdr:cNvPr id="19761" name="Gráfico 1">
          <a:extLst>
            <a:ext uri="{FF2B5EF4-FFF2-40B4-BE49-F238E27FC236}">
              <a16:creationId xmlns:a16="http://schemas.microsoft.com/office/drawing/2014/main" id="{255C1166-61C9-414F-8589-F6EAAF409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137160</xdr:colOff>
      <xdr:row>1</xdr:row>
      <xdr:rowOff>53340</xdr:rowOff>
    </xdr:from>
    <xdr:to>
      <xdr:col>12</xdr:col>
      <xdr:colOff>304800</xdr:colOff>
      <xdr:row>4</xdr:row>
      <xdr:rowOff>53340</xdr:rowOff>
    </xdr:to>
    <xdr:pic>
      <xdr:nvPicPr>
        <xdr:cNvPr id="19762" name="Imagen 3">
          <a:extLst>
            <a:ext uri="{FF2B5EF4-FFF2-40B4-BE49-F238E27FC236}">
              <a16:creationId xmlns:a16="http://schemas.microsoft.com/office/drawing/2014/main" id="{7E57B974-7788-4BCD-A167-E84FCE7F6F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2180" y="220980"/>
          <a:ext cx="111252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U35"/>
  <sheetViews>
    <sheetView topLeftCell="A2" zoomScale="71" zoomScaleNormal="71" workbookViewId="0">
      <selection activeCell="H5" sqref="H5:K6"/>
    </sheetView>
  </sheetViews>
  <sheetFormatPr baseColWidth="10" defaultColWidth="9.109375" defaultRowHeight="13.2"/>
  <cols>
    <col min="1" max="1" width="2.88671875" style="2" customWidth="1"/>
    <col min="2" max="2" width="10" style="2" customWidth="1"/>
    <col min="3" max="3" width="14.44140625" style="2" customWidth="1"/>
    <col min="4" max="4" width="31.44140625" style="2" customWidth="1"/>
    <col min="5" max="11" width="9.109375" style="2" customWidth="1"/>
    <col min="12" max="12" width="12.88671875" style="2" customWidth="1"/>
    <col min="13" max="16384" width="9.109375" style="2"/>
  </cols>
  <sheetData>
    <row r="4" spans="3:12">
      <c r="C4" s="88"/>
      <c r="D4" s="88"/>
      <c r="E4" s="88"/>
      <c r="F4" s="88"/>
      <c r="G4" s="88"/>
      <c r="H4" s="88"/>
      <c r="I4" s="88"/>
      <c r="J4" s="88"/>
      <c r="K4" s="88"/>
      <c r="L4" s="88"/>
    </row>
    <row r="5" spans="3:12" ht="12" customHeight="1">
      <c r="C5" s="265" t="s">
        <v>44</v>
      </c>
      <c r="D5" s="265"/>
      <c r="E5" s="265"/>
      <c r="F5" s="265"/>
      <c r="G5" s="265"/>
      <c r="H5" s="264" t="s">
        <v>42</v>
      </c>
      <c r="I5" s="264"/>
      <c r="J5" s="264"/>
      <c r="K5" s="264"/>
      <c r="L5" s="88"/>
    </row>
    <row r="6" spans="3:12" ht="21" customHeight="1">
      <c r="C6" s="265"/>
      <c r="D6" s="265"/>
      <c r="E6" s="265"/>
      <c r="F6" s="265"/>
      <c r="G6" s="265"/>
      <c r="H6" s="264"/>
      <c r="I6" s="264"/>
      <c r="J6" s="264"/>
      <c r="K6" s="264"/>
      <c r="L6" s="88"/>
    </row>
    <row r="7" spans="3:12" ht="17.100000000000001" customHeight="1">
      <c r="C7" s="88"/>
      <c r="D7" s="88"/>
      <c r="E7" s="88"/>
      <c r="F7" s="88"/>
      <c r="G7" s="88"/>
      <c r="H7" s="88"/>
      <c r="I7" s="88"/>
      <c r="J7" s="88"/>
      <c r="K7" s="88"/>
      <c r="L7" s="88"/>
    </row>
    <row r="12" spans="3:12" ht="13.8" thickBot="1"/>
    <row r="13" spans="3:12" ht="16.8" thickTop="1" thickBot="1">
      <c r="C13" s="263" t="str">
        <f>IF(D34=1,"GENERAL INFORMATION","INFORMACIÓN GENERAL")</f>
        <v>GENERAL INFORMATION</v>
      </c>
      <c r="D13" s="263"/>
      <c r="E13" s="263"/>
      <c r="F13" s="263"/>
      <c r="G13" s="263"/>
      <c r="H13" s="263"/>
      <c r="I13" s="263"/>
      <c r="J13" s="263"/>
    </row>
    <row r="14" spans="3:12" ht="13.8" thickTop="1"/>
    <row r="15" spans="3:12">
      <c r="C15" s="88"/>
      <c r="D15" s="88"/>
      <c r="E15" s="88"/>
      <c r="F15" s="88"/>
      <c r="G15" s="88"/>
      <c r="H15" s="88"/>
      <c r="I15" s="88"/>
      <c r="J15" s="88"/>
      <c r="K15" s="88"/>
      <c r="L15" s="37"/>
    </row>
    <row r="16" spans="3:12">
      <c r="C16" s="262" t="str">
        <f>IF(D34=1,"This Excel file was created to register your measurements of 20 subjects and to calculate your Technical Error of Measurement after that.","Este archivo de Excel ha sido creado para registrar sus mediciones de los 20 sujetos y para calcular su Error Técnico de Medida.")</f>
        <v>This Excel file was created to register your measurements of 20 subjects and to calculate your Technical Error of Measurement after that.</v>
      </c>
      <c r="D16" s="262"/>
      <c r="E16" s="262"/>
      <c r="F16" s="262"/>
      <c r="G16" s="262"/>
      <c r="H16" s="262"/>
      <c r="I16" s="262"/>
      <c r="J16" s="262"/>
      <c r="K16" s="262"/>
      <c r="L16" s="262"/>
    </row>
    <row r="17" spans="2:21">
      <c r="C17" s="262" t="str">
        <f>IF(D34=1,"You must take measurements of twenty (20) individuals, registering two times for each varaible, or three times if it is indicated in the corresponding cell.","Debe tomar medidas de veinte (20) individuos, registrando dos veces cada varaible, o tres veces si así se indica en la celda correspondiente.")</f>
        <v>You must take measurements of twenty (20) individuals, registering two times for each varaible, or three times if it is indicated in the corresponding cell.</v>
      </c>
      <c r="D17" s="262"/>
      <c r="E17" s="262"/>
      <c r="F17" s="262"/>
      <c r="G17" s="262"/>
      <c r="H17" s="262"/>
      <c r="I17" s="262"/>
      <c r="J17" s="262"/>
      <c r="K17" s="262"/>
      <c r="L17" s="262"/>
    </row>
    <row r="18" spans="2:21" s="36" customFormat="1">
      <c r="B18" s="36">
        <v>1</v>
      </c>
      <c r="C18" s="89"/>
      <c r="D18" s="89"/>
      <c r="E18" s="89"/>
      <c r="F18" s="89"/>
      <c r="G18" s="89"/>
      <c r="H18" s="89"/>
      <c r="I18" s="89"/>
      <c r="J18" s="89"/>
      <c r="K18" s="89"/>
      <c r="L18" s="89"/>
      <c r="M18" s="36">
        <v>12</v>
      </c>
      <c r="N18" s="36">
        <v>13</v>
      </c>
      <c r="O18" s="36">
        <v>14</v>
      </c>
      <c r="P18" s="36">
        <v>15</v>
      </c>
      <c r="Q18" s="36">
        <v>16</v>
      </c>
      <c r="R18" s="36">
        <v>17</v>
      </c>
      <c r="S18" s="36">
        <v>18</v>
      </c>
      <c r="T18" s="36">
        <v>19</v>
      </c>
      <c r="U18" s="36">
        <v>20</v>
      </c>
    </row>
    <row r="19" spans="2:21">
      <c r="C19" s="262" t="str">
        <f>IF(D34=1,"You must complete the grey cells of the tabs ''1.'' to ''20.''","Debe completar las celdas coloreadas en gris de las pestañas ''1.'' a ''20.''.")</f>
        <v>You must complete the grey cells of the tabs ''1.'' to ''20.''</v>
      </c>
      <c r="D19" s="262"/>
      <c r="E19" s="262"/>
      <c r="F19" s="262"/>
      <c r="G19" s="262"/>
      <c r="H19" s="262"/>
      <c r="I19" s="262"/>
      <c r="J19" s="262"/>
      <c r="K19" s="262"/>
      <c r="L19" s="262"/>
    </row>
    <row r="20" spans="2:21">
      <c r="C20" s="262" t="str">
        <f>IF(D34=1,"You must not change the name of any tab.","No cambie el nombre de las pestañas del excel.")</f>
        <v>You must not change the name of any tab.</v>
      </c>
      <c r="D20" s="262"/>
      <c r="E20" s="262"/>
      <c r="F20" s="262"/>
      <c r="G20" s="262"/>
      <c r="H20" s="262"/>
      <c r="I20" s="262"/>
      <c r="J20" s="262"/>
      <c r="K20" s="262"/>
      <c r="L20" s="262"/>
    </row>
    <row r="21" spans="2:21">
      <c r="C21" s="262"/>
      <c r="D21" s="262"/>
      <c r="E21" s="262"/>
      <c r="F21" s="262"/>
      <c r="G21" s="262"/>
      <c r="H21" s="262"/>
      <c r="I21" s="262"/>
      <c r="J21" s="262"/>
      <c r="K21" s="262"/>
      <c r="L21" s="262"/>
    </row>
    <row r="22" spans="2:21" ht="12.9" customHeight="1">
      <c r="C22" s="262" t="str">
        <f>IF(D34=1,"If you want to print information out for the subject, it is necessary to save that tab as a pdf. The file is ready to automatically take the individual's report.","Si desea entregar un informe a la persona ecaluada puede guardar como PDF la pestaña en la que ha incluido las medidas de dicho sujeto. El archivo está preparado para sacar automáticamente su informe individual.")</f>
        <v>If you want to print information out for the subject, it is necessary to save that tab as a pdf. The file is ready to automatically take the individual's report.</v>
      </c>
      <c r="D22" s="262"/>
      <c r="E22" s="262"/>
      <c r="F22" s="262"/>
      <c r="G22" s="262"/>
      <c r="H22" s="262"/>
      <c r="I22" s="262"/>
      <c r="J22" s="262"/>
      <c r="K22" s="262"/>
      <c r="L22" s="262"/>
    </row>
    <row r="23" spans="2:21">
      <c r="C23" s="262"/>
      <c r="D23" s="262"/>
      <c r="E23" s="262"/>
      <c r="F23" s="262"/>
      <c r="G23" s="262"/>
      <c r="H23" s="262"/>
      <c r="I23" s="262"/>
      <c r="J23" s="262"/>
      <c r="K23" s="262"/>
      <c r="L23" s="262"/>
    </row>
    <row r="24" spans="2:21">
      <c r="C24" s="89"/>
      <c r="D24" s="89"/>
      <c r="E24" s="89"/>
      <c r="F24" s="89"/>
      <c r="G24" s="89"/>
      <c r="H24" s="89"/>
      <c r="I24" s="89"/>
      <c r="J24" s="89"/>
      <c r="K24" s="89"/>
      <c r="L24" s="89"/>
    </row>
    <row r="25" spans="2:21">
      <c r="C25" s="262" t="str">
        <f>IF(D34=1,"While typing in data, make sure to save the spreadsheet frequently in order to avoid accidents which could result in loss of typed data.","Mientras que introduce los datos, asegúrese de grabar con frecuencia la hoja para la toma de datos de manera que evite accidentes que podrian producir la perdida de datos.")</f>
        <v>While typing in data, make sure to save the spreadsheet frequently in order to avoid accidents which could result in loss of typed data.</v>
      </c>
      <c r="D25" s="262"/>
      <c r="E25" s="262"/>
      <c r="F25" s="262"/>
      <c r="G25" s="262"/>
      <c r="H25" s="262"/>
      <c r="I25" s="262"/>
      <c r="J25" s="262"/>
      <c r="K25" s="262"/>
      <c r="L25" s="262"/>
    </row>
    <row r="26" spans="2:21">
      <c r="C26" s="89"/>
      <c r="D26" s="89"/>
      <c r="E26" s="89"/>
      <c r="F26" s="89"/>
      <c r="G26" s="89"/>
      <c r="H26" s="89"/>
      <c r="I26" s="89"/>
      <c r="J26" s="89"/>
      <c r="K26" s="89"/>
      <c r="L26" s="89"/>
    </row>
    <row r="27" spans="2:21">
      <c r="C27" s="262" t="str">
        <f>IF(D34=1,"When you finish entering the data of the 20 subjects, send this sheet to the instructor responsible for your course.","Cuando termine de introducir los datos de los 20 sujetos, envíe esta hoja al instructor responsable de su curso.")</f>
        <v>When you finish entering the data of the 20 subjects, send this sheet to the instructor responsible for your course.</v>
      </c>
      <c r="D27" s="262"/>
      <c r="E27" s="262"/>
      <c r="F27" s="262"/>
      <c r="G27" s="262"/>
      <c r="H27" s="262"/>
      <c r="I27" s="262"/>
      <c r="J27" s="262"/>
      <c r="K27" s="262"/>
      <c r="L27" s="262"/>
    </row>
    <row r="28" spans="2:21">
      <c r="C28" s="89"/>
      <c r="D28" s="89"/>
      <c r="E28" s="89"/>
      <c r="F28" s="89"/>
      <c r="G28" s="89"/>
      <c r="H28" s="89"/>
      <c r="I28" s="89"/>
      <c r="J28" s="89"/>
      <c r="K28" s="89"/>
      <c r="L28" s="89"/>
    </row>
    <row r="29" spans="2:21">
      <c r="C29" s="262" t="str">
        <f>IF(D34=1,"The sheet named ''Graphs'' shows graphs comparing the measured and target %TEM.","Las hojas llamadas ''gráficos'' muestran gráficos que comparan los errores ETM medidos y el porcentaje objetivo.")</f>
        <v>The sheet named ''Graphs'' shows graphs comparing the measured and target %TEM.</v>
      </c>
      <c r="D29" s="262"/>
      <c r="E29" s="262"/>
      <c r="F29" s="262"/>
      <c r="G29" s="262"/>
      <c r="H29" s="262"/>
      <c r="I29" s="262"/>
      <c r="J29" s="262"/>
      <c r="K29" s="262"/>
      <c r="L29" s="262"/>
    </row>
    <row r="30" spans="2:21">
      <c r="C30" s="89"/>
      <c r="D30" s="89"/>
      <c r="E30" s="89"/>
      <c r="F30" s="89"/>
      <c r="G30" s="89"/>
      <c r="H30" s="89"/>
      <c r="I30" s="89"/>
      <c r="J30" s="89"/>
      <c r="K30" s="89"/>
      <c r="L30" s="89"/>
    </row>
    <row r="34" spans="3:4">
      <c r="C34" s="94" t="s">
        <v>42</v>
      </c>
      <c r="D34" s="93">
        <f>IF(H5="English / Inglés",1,0)</f>
        <v>1</v>
      </c>
    </row>
    <row r="35" spans="3:4">
      <c r="C35" s="94" t="s">
        <v>43</v>
      </c>
      <c r="D35" s="92"/>
    </row>
  </sheetData>
  <sheetProtection algorithmName="SHA-512" hashValue="2lNSLbE2Pg/7o+pyDJkQM+XxiXwYntB9VGTWv+b9RWfjrbXs2iXDMpDCzb7TWYty7k1tbKMVlBxfJmdnEQF8Ow==" saltValue="XbqiJYSWZffvjiYxDwuLpw==" spinCount="100000" sheet="1" selectLockedCells="1"/>
  <mergeCells count="12">
    <mergeCell ref="C29:L29"/>
    <mergeCell ref="C27:L27"/>
    <mergeCell ref="C25:L25"/>
    <mergeCell ref="C13:J13"/>
    <mergeCell ref="H5:K6"/>
    <mergeCell ref="C5:G6"/>
    <mergeCell ref="C22:L23"/>
    <mergeCell ref="C17:L17"/>
    <mergeCell ref="C19:L19"/>
    <mergeCell ref="C20:L20"/>
    <mergeCell ref="C16:L16"/>
    <mergeCell ref="C21:L21"/>
  </mergeCells>
  <phoneticPr fontId="5" type="noConversion"/>
  <dataValidations count="1">
    <dataValidation type="list" allowBlank="1" showInputMessage="1" showErrorMessage="1" sqref="H5:K6" xr:uid="{00000000-0002-0000-0000-000000000000}">
      <formula1>$C$34:$C$35</formula1>
    </dataValidation>
  </dataValidations>
  <pageMargins left="0" right="0" top="1" bottom="1" header="0.49212598499999999" footer="0.49212598499999999"/>
  <pageSetup paperSize="9" scale="80" orientation="portrait" horizontalDpi="300" verticalDpi="300"/>
  <headerFooter alignWithMargins="0">
    <oddFooter>&amp;F</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31"/>
  <sheetViews>
    <sheetView zoomScale="99" workbookViewId="0">
      <selection activeCell="F3" sqref="F3"/>
    </sheetView>
  </sheetViews>
  <sheetFormatPr baseColWidth="10" defaultColWidth="9.109375" defaultRowHeight="13.2"/>
  <cols>
    <col min="1" max="1" width="2.88671875" style="2" customWidth="1"/>
    <col min="2" max="2" width="10" style="2" customWidth="1"/>
    <col min="3" max="3" width="9.109375" style="2" customWidth="1"/>
    <col min="4" max="4" width="11" style="2" customWidth="1"/>
    <col min="5" max="11" width="9.109375" style="2" customWidth="1"/>
    <col min="12" max="12" width="4.6640625" style="2" customWidth="1"/>
    <col min="13" max="16384" width="9.109375" style="2"/>
  </cols>
  <sheetData>
    <row r="1" spans="3:12" ht="13.8" thickBot="1"/>
    <row r="2" spans="3:12" ht="16.8" thickTop="1" thickBot="1">
      <c r="C2" s="263" t="str">
        <f>IF(Info!D34=1,"SPREADSHEET FOR MEASUREMENT ERROR", "HOJA DE CALCULO PARA EL ERROR DE MEDIDA")</f>
        <v>SPREADSHEET FOR MEASUREMENT ERROR</v>
      </c>
      <c r="D2" s="263"/>
      <c r="E2" s="263"/>
      <c r="F2" s="263"/>
      <c r="G2" s="263"/>
      <c r="H2" s="263"/>
      <c r="I2" s="263"/>
      <c r="J2" s="263"/>
    </row>
    <row r="3" spans="3:12" ht="13.8" thickTop="1"/>
    <row r="5" spans="3:12" ht="20.25" customHeight="1">
      <c r="C5" s="266" t="str">
        <f>IF(Info!D34=1,"This spreadsheet calculates the Technical Error of Measurement (TEM) and the Intraclass Correlation Coefficient (ICC) from a one-way ANOVA.","Esta hoja de cálculo permite el calculo del Error Tecnico de Medida (ETM) y el coeficiente de Correlación Intraclase (ICC) por el metodo ANOVA.")</f>
        <v>This spreadsheet calculates the Technical Error of Measurement (TEM) and the Intraclass Correlation Coefficient (ICC) from a one-way ANOVA.</v>
      </c>
      <c r="D5" s="266"/>
      <c r="E5" s="266"/>
      <c r="F5" s="266"/>
      <c r="G5" s="266"/>
      <c r="H5" s="266"/>
      <c r="I5" s="266"/>
      <c r="J5" s="266"/>
      <c r="K5" s="266"/>
      <c r="L5" s="266"/>
    </row>
    <row r="6" spans="3:12" ht="12" customHeight="1">
      <c r="C6" s="266"/>
      <c r="D6" s="266"/>
      <c r="E6" s="266"/>
      <c r="F6" s="266"/>
      <c r="G6" s="266"/>
      <c r="H6" s="266"/>
      <c r="I6" s="266"/>
      <c r="J6" s="266"/>
      <c r="K6" s="266"/>
      <c r="L6" s="266"/>
    </row>
    <row r="7" spans="3:12" ht="30" customHeight="1">
      <c r="C7" s="266" t="str">
        <f>IF(Info!D34=1,"[For additional information on the statistical calculations, refer to Norton &amp; Olds (1996) or other statistics textbooks.]","Para información adicional sobre los calculos estadísticos, consulte Norton &amp; Olds (1996) u otros textos de estadística.")</f>
        <v>[For additional information on the statistical calculations, refer to Norton &amp; Olds (1996) or other statistics textbooks.]</v>
      </c>
      <c r="D7" s="266"/>
      <c r="E7" s="266"/>
      <c r="F7" s="266"/>
      <c r="G7" s="266"/>
      <c r="H7" s="266"/>
      <c r="I7" s="266"/>
      <c r="J7" s="266"/>
      <c r="K7" s="266"/>
      <c r="L7" s="266"/>
    </row>
    <row r="8" spans="3:12" hidden="1">
      <c r="C8" s="266"/>
      <c r="D8" s="266"/>
      <c r="E8" s="266"/>
      <c r="F8" s="266"/>
      <c r="G8" s="266"/>
      <c r="H8" s="266"/>
      <c r="I8" s="266"/>
      <c r="J8" s="266"/>
      <c r="K8" s="266"/>
      <c r="L8" s="266"/>
    </row>
    <row r="9" spans="3:12">
      <c r="C9" s="95"/>
      <c r="D9" s="95"/>
      <c r="E9" s="95"/>
      <c r="F9" s="95"/>
      <c r="G9" s="95"/>
      <c r="H9" s="95"/>
      <c r="I9" s="95"/>
      <c r="J9" s="95"/>
      <c r="K9" s="95"/>
      <c r="L9" s="95"/>
    </row>
    <row r="10" spans="3:12">
      <c r="C10" s="38" t="str">
        <f>IF(Info!D34=1,"The calculations are based on two (or the closest two of three) measures on twenty (20) subjects.", "Los cálculos se refieren a dos medidas (2), o las dos más cercanas si son tres medidas, sobre veinte (20) sujetos.")</f>
        <v>The calculations are based on two (or the closest two of three) measures on twenty (20) subjects.</v>
      </c>
    </row>
    <row r="11" spans="3:12">
      <c r="C11" s="38" t="str">
        <f>IF(Info!D34=1, "The intra-tester target %TEMs for obtaining ISAK accreditation are:", "El porcentaje de Error del ETM para el inter- e intra-evaulador para obtener la acreditacion ISAK se muestran en la tabla inferior.")</f>
        <v>The intra-tester target %TEMs for obtaining ISAK accreditation are:</v>
      </c>
    </row>
    <row r="13" spans="3:12">
      <c r="C13" s="39"/>
      <c r="D13" s="39"/>
      <c r="E13" s="267" t="str">
        <f>IF(Info!D34=1, "Level 1", "Nivel 1")</f>
        <v>Level 1</v>
      </c>
      <c r="F13" s="267"/>
      <c r="G13" s="267" t="str">
        <f>IF(Info!D34=1, "Level 2, 3 and 4","Nivel 2, 3 y 4")</f>
        <v>Level 2, 3 and 4</v>
      </c>
      <c r="H13" s="267"/>
      <c r="K13" s="40"/>
    </row>
    <row r="14" spans="3:12">
      <c r="C14" s="41"/>
      <c r="D14" s="41"/>
      <c r="E14" s="42" t="str">
        <f>IF(Info!D34=1, "Post-course","Tras el curso")</f>
        <v>Post-course</v>
      </c>
      <c r="F14" s="42" t="str">
        <f>IF(Info!D34=1, "Post-profiles","Post-perfiles")</f>
        <v>Post-profiles</v>
      </c>
      <c r="G14" s="42" t="str">
        <f>IF(Info!D34=1, "Post-course","Tras el curso")</f>
        <v>Post-course</v>
      </c>
      <c r="H14" s="42" t="str">
        <f>IF(Info!D34=1, "Post-profiles","Post-perfiles")</f>
        <v>Post-profiles</v>
      </c>
    </row>
    <row r="15" spans="3:12">
      <c r="C15" s="43" t="s">
        <v>30</v>
      </c>
      <c r="D15" s="43" t="str">
        <f>IF(Info!D34=1, "Skinfolds","Pliegues")</f>
        <v>Skinfolds</v>
      </c>
      <c r="E15" s="44">
        <v>12.5</v>
      </c>
      <c r="F15" s="44">
        <v>10</v>
      </c>
      <c r="G15" s="44">
        <v>10</v>
      </c>
      <c r="H15" s="44">
        <v>7.5</v>
      </c>
    </row>
    <row r="16" spans="3:12">
      <c r="C16" s="43"/>
      <c r="D16" s="43" t="str">
        <f>IF(Info!D34=1, "Other measurs","Otras medidas")</f>
        <v>Other measurs</v>
      </c>
      <c r="E16" s="44">
        <v>2.5</v>
      </c>
      <c r="F16" s="44">
        <v>2</v>
      </c>
      <c r="G16" s="44">
        <v>2</v>
      </c>
      <c r="H16" s="44">
        <v>1.5</v>
      </c>
    </row>
    <row r="17" spans="2:21">
      <c r="C17" s="43" t="s">
        <v>22</v>
      </c>
      <c r="D17" s="43" t="str">
        <f>IF(Info!D34=1, "Skinfolds","Pliegues")</f>
        <v>Skinfolds</v>
      </c>
      <c r="E17" s="44">
        <v>10</v>
      </c>
      <c r="F17" s="44">
        <v>7.5</v>
      </c>
      <c r="G17" s="44">
        <v>7.5</v>
      </c>
      <c r="H17" s="44">
        <v>5</v>
      </c>
    </row>
    <row r="18" spans="2:21">
      <c r="C18" s="41"/>
      <c r="D18" s="41" t="str">
        <f>IF(Info!D34=1, "Other measurs","Otras medidas")</f>
        <v>Other measurs</v>
      </c>
      <c r="E18" s="45">
        <v>2</v>
      </c>
      <c r="F18" s="45">
        <v>1.5</v>
      </c>
      <c r="G18" s="45">
        <v>1.5</v>
      </c>
      <c r="H18" s="45">
        <v>1</v>
      </c>
    </row>
    <row r="19" spans="2:21">
      <c r="C19" s="46"/>
      <c r="D19" s="46"/>
      <c r="E19" s="46"/>
      <c r="F19" s="46"/>
      <c r="G19" s="46"/>
      <c r="H19" s="46"/>
    </row>
    <row r="20" spans="2:21">
      <c r="C20" s="46"/>
      <c r="D20" s="46"/>
      <c r="E20" s="47" t="str">
        <f>IF(Info!D34=1, "Number of subjects:","Numero de sujetos:")</f>
        <v>Number of subjects:</v>
      </c>
      <c r="F20" s="48">
        <v>20</v>
      </c>
      <c r="G20" s="48"/>
      <c r="H20" s="46"/>
    </row>
    <row r="21" spans="2:21">
      <c r="C21" s="49"/>
      <c r="D21" s="49"/>
      <c r="E21" s="50" t="str">
        <f>IF(Info!D34=1, "Measuments per subject:","Medida por sujeto:")</f>
        <v>Measuments per subject:</v>
      </c>
      <c r="F21" s="51">
        <v>2</v>
      </c>
      <c r="G21" s="51"/>
      <c r="H21" s="49"/>
      <c r="I21" s="11"/>
      <c r="J21" s="11"/>
      <c r="K21" s="11"/>
      <c r="L21" s="11"/>
    </row>
    <row r="22" spans="2:21">
      <c r="C22" s="52"/>
      <c r="D22" s="52"/>
      <c r="E22" s="52"/>
      <c r="F22" s="52"/>
      <c r="G22" s="52"/>
      <c r="H22" s="52"/>
      <c r="I22" s="53"/>
      <c r="J22" s="53"/>
      <c r="K22" s="53"/>
      <c r="L22" s="53"/>
    </row>
    <row r="23" spans="2:21" ht="21.9" customHeight="1">
      <c r="C23" s="268"/>
      <c r="D23" s="268"/>
      <c r="E23" s="268"/>
      <c r="F23" s="268"/>
      <c r="G23" s="268"/>
      <c r="H23" s="268"/>
      <c r="I23" s="268"/>
      <c r="J23" s="268"/>
      <c r="K23" s="268"/>
      <c r="L23" s="268"/>
      <c r="M23" s="268"/>
      <c r="N23" s="90"/>
      <c r="O23" s="90"/>
      <c r="P23" s="90"/>
    </row>
    <row r="31" spans="2:21" s="36" customFormat="1">
      <c r="B31" s="36">
        <v>1</v>
      </c>
      <c r="C31" s="36">
        <v>2</v>
      </c>
      <c r="D31" s="36">
        <v>3</v>
      </c>
      <c r="E31" s="36">
        <v>4</v>
      </c>
      <c r="F31" s="36">
        <v>5</v>
      </c>
      <c r="G31" s="36">
        <v>6</v>
      </c>
      <c r="H31" s="36">
        <v>7</v>
      </c>
      <c r="I31" s="36">
        <v>8</v>
      </c>
      <c r="J31" s="36">
        <v>9</v>
      </c>
      <c r="K31" s="36">
        <v>10</v>
      </c>
      <c r="L31" s="36">
        <v>11</v>
      </c>
      <c r="M31" s="36">
        <v>12</v>
      </c>
      <c r="N31" s="36">
        <v>13</v>
      </c>
      <c r="O31" s="36">
        <v>14</v>
      </c>
      <c r="P31" s="36">
        <v>15</v>
      </c>
      <c r="Q31" s="36">
        <v>16</v>
      </c>
      <c r="R31" s="36">
        <v>17</v>
      </c>
      <c r="S31" s="36">
        <v>18</v>
      </c>
      <c r="T31" s="36">
        <v>19</v>
      </c>
      <c r="U31" s="36">
        <v>20</v>
      </c>
    </row>
  </sheetData>
  <sheetProtection password="DD13" sheet="1" scenarios="1" selectLockedCells="1" selectUnlockedCells="1"/>
  <mergeCells count="6">
    <mergeCell ref="C5:L6"/>
    <mergeCell ref="E13:F13"/>
    <mergeCell ref="G13:H13"/>
    <mergeCell ref="C2:J2"/>
    <mergeCell ref="C23:M23"/>
    <mergeCell ref="C7:L8"/>
  </mergeCells>
  <phoneticPr fontId="5" type="noConversion"/>
  <pageMargins left="0" right="0" top="1" bottom="1" header="0.49212598499999999" footer="0.49212598499999999"/>
  <pageSetup paperSize="9" scale="80" orientation="portrait" horizontalDpi="300" verticalDpi="300"/>
  <headerFooter alignWithMargins="0">
    <oddFooter>&amp;F</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91"/>
  <sheetViews>
    <sheetView topLeftCell="I31" zoomScale="141" zoomScaleNormal="141" zoomScaleSheetLayoutView="75" workbookViewId="0">
      <selection activeCell="H33" sqref="H33"/>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8.88671875" style="104" bestFit="1"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80</v>
      </c>
      <c r="H4" s="71"/>
      <c r="I4" s="72"/>
      <c r="J4" s="118"/>
      <c r="K4" s="118"/>
      <c r="L4" s="111"/>
      <c r="M4" s="111"/>
      <c r="N4" s="111"/>
      <c r="O4" s="104"/>
      <c r="P4" s="104"/>
      <c r="Q4" s="113"/>
      <c r="R4" s="105" t="str">
        <f t="shared" ref="R4:R11" si="0">+B4</f>
        <v>Name</v>
      </c>
      <c r="S4" s="119"/>
      <c r="T4" s="119"/>
      <c r="U4" s="120" t="str">
        <f t="shared" ref="U4:U9" si="1">+G4</f>
        <v xml:space="preserve">STEPHAN </v>
      </c>
      <c r="V4" s="107"/>
      <c r="W4" s="107"/>
      <c r="X4" s="121"/>
      <c r="Y4" s="107"/>
      <c r="Z4" s="108"/>
      <c r="AA4" s="115"/>
    </row>
    <row r="5" spans="1:27" s="109" customFormat="1">
      <c r="B5" s="116" t="str">
        <f>IF(Info!D34,"Surname","Apellidos")</f>
        <v>Surname</v>
      </c>
      <c r="C5" s="116"/>
      <c r="D5" s="116"/>
      <c r="E5" s="110"/>
      <c r="F5" s="112"/>
      <c r="G5" s="81" t="s">
        <v>81</v>
      </c>
      <c r="H5" s="73"/>
      <c r="I5" s="74"/>
      <c r="J5" s="122"/>
      <c r="K5" s="122"/>
      <c r="L5" s="122"/>
      <c r="M5" s="122"/>
      <c r="N5" s="123"/>
      <c r="O5" s="104"/>
      <c r="P5" s="104"/>
      <c r="Q5" s="113"/>
      <c r="R5" s="113" t="str">
        <f t="shared" si="0"/>
        <v>Surname</v>
      </c>
      <c r="S5" s="124"/>
      <c r="T5" s="124"/>
      <c r="U5" s="125" t="str">
        <f t="shared" si="1"/>
        <v>BREADT</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46086</v>
      </c>
      <c r="H10" s="76"/>
      <c r="I10" s="76"/>
      <c r="J10" s="111"/>
      <c r="K10" s="111"/>
      <c r="L10" s="111"/>
      <c r="M10" s="111"/>
      <c r="N10" s="122"/>
      <c r="O10" s="104"/>
      <c r="P10" s="104"/>
      <c r="Q10" s="113"/>
      <c r="R10" s="113" t="str">
        <f t="shared" si="0"/>
        <v>Date of Measurement</v>
      </c>
      <c r="S10" s="124"/>
      <c r="T10" s="124"/>
      <c r="U10" s="131">
        <f>+G10</f>
        <v>46086</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+G11</f>
        <v>0</v>
      </c>
      <c r="V11" s="138"/>
      <c r="W11" s="138"/>
      <c r="X11" s="139"/>
      <c r="Y11" s="140"/>
      <c r="Z11" s="141"/>
      <c r="AA11" s="115"/>
    </row>
    <row r="12" spans="1:27" ht="14.4" thickTop="1" thickBot="1">
      <c r="A12" s="109"/>
      <c r="B12" s="116" t="str">
        <f>IF(Info!D34,"Measure","Medida")</f>
        <v>Measure</v>
      </c>
      <c r="C12" s="116"/>
      <c r="D12" s="116"/>
      <c r="E12" s="122"/>
      <c r="F12" s="112"/>
      <c r="G12" s="78"/>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100.5</v>
      </c>
      <c r="H13" s="84"/>
      <c r="I13" s="84"/>
      <c r="J13" s="150"/>
      <c r="K13" s="151">
        <f>+(H13-G13)/(AVERAGE(G13:H13))</f>
        <v>-1</v>
      </c>
      <c r="L13" s="152" t="str">
        <f>IF(ABS(K13)&gt;1%,"Yes","No")</f>
        <v>Yes</v>
      </c>
      <c r="M13" s="150"/>
      <c r="N13" s="153">
        <f t="shared" ref="N13:N25" si="2">IF(I13=0,AVERAGE(G13,H13),MEDIAN(G13,H13,I13))</f>
        <v>100.5</v>
      </c>
      <c r="O13" s="154"/>
      <c r="P13" s="154"/>
      <c r="Q13" s="155"/>
      <c r="R13" s="156" t="str">
        <f t="shared" ref="R13:R36" si="3">+B13</f>
        <v>Mass</v>
      </c>
      <c r="S13" s="157"/>
      <c r="T13" s="157"/>
      <c r="U13" s="158">
        <f t="shared" ref="U13:U25" si="4">+N13</f>
        <v>100.5</v>
      </c>
      <c r="V13" s="159" t="s">
        <v>25</v>
      </c>
      <c r="W13" s="160">
        <f>1/8.6*(+U13*((170.18/U$14)^3)-64.58)</f>
        <v>1.7363955858211744</v>
      </c>
      <c r="X13" s="121"/>
      <c r="Y13" s="107"/>
      <c r="Z13" s="108"/>
      <c r="AA13" s="115"/>
    </row>
    <row r="14" spans="1:27" s="109" customFormat="1">
      <c r="B14" s="161" t="str">
        <f>IF(Info!D34,"Stature","Talla")</f>
        <v>Stature</v>
      </c>
      <c r="C14" s="116"/>
      <c r="D14" s="116"/>
      <c r="E14" s="122"/>
      <c r="F14" s="110"/>
      <c r="G14" s="85">
        <v>184</v>
      </c>
      <c r="H14" s="85"/>
      <c r="I14" s="85"/>
      <c r="J14" s="134"/>
      <c r="K14" s="162">
        <f t="shared" ref="K14:K34" si="5">+(H14-G14)/(AVERAGE(G14:H14))</f>
        <v>-1</v>
      </c>
      <c r="L14" s="163" t="str">
        <f>IF(ABS(K14)&gt;1%,"Yes","No")</f>
        <v>Yes</v>
      </c>
      <c r="M14" s="134"/>
      <c r="N14" s="164">
        <f t="shared" si="2"/>
        <v>184</v>
      </c>
      <c r="O14" s="154"/>
      <c r="P14" s="154"/>
      <c r="Q14" s="155"/>
      <c r="R14" s="155" t="str">
        <f t="shared" si="3"/>
        <v>Stature</v>
      </c>
      <c r="S14" s="165"/>
      <c r="T14" s="165"/>
      <c r="U14" s="166">
        <f t="shared" si="4"/>
        <v>184</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v>12</v>
      </c>
      <c r="H17" s="84"/>
      <c r="I17" s="84"/>
      <c r="J17" s="150"/>
      <c r="K17" s="151">
        <f t="shared" si="5"/>
        <v>-1</v>
      </c>
      <c r="L17" s="152" t="str">
        <f t="shared" ref="L17:L24" si="6">IF(ABS(K17)&gt;5%,"Yes","No")</f>
        <v>Yes</v>
      </c>
      <c r="M17" s="150"/>
      <c r="N17" s="153">
        <f t="shared" si="2"/>
        <v>12</v>
      </c>
      <c r="O17" s="154"/>
      <c r="P17" s="154"/>
      <c r="Q17" s="155"/>
      <c r="R17" s="156" t="str">
        <f t="shared" si="3"/>
        <v>Triceps sf</v>
      </c>
      <c r="S17" s="157"/>
      <c r="T17" s="157"/>
      <c r="U17" s="175">
        <f t="shared" si="4"/>
        <v>12</v>
      </c>
      <c r="V17" s="176" t="s">
        <v>27</v>
      </c>
      <c r="W17" s="177">
        <f>1/4.47*(+U17*((170.18/U$14)^1)-15.4)</f>
        <v>-0.96226048049800639</v>
      </c>
      <c r="X17" s="178"/>
      <c r="Y17" s="176"/>
      <c r="Z17" s="179"/>
      <c r="AA17" s="145"/>
    </row>
    <row r="18" spans="1:27" ht="18" customHeight="1">
      <c r="B18" s="161" t="str">
        <f>IF(Info!D34,"Subscapular sf","PL Subescapular")</f>
        <v>Subscapular sf</v>
      </c>
      <c r="C18" s="116"/>
      <c r="D18" s="116"/>
      <c r="E18" s="122"/>
      <c r="F18" s="110"/>
      <c r="G18" s="85">
        <v>20</v>
      </c>
      <c r="H18" s="85"/>
      <c r="I18" s="85"/>
      <c r="J18" s="134"/>
      <c r="K18" s="162">
        <f t="shared" si="5"/>
        <v>-1</v>
      </c>
      <c r="L18" s="163" t="str">
        <f t="shared" si="6"/>
        <v>Yes</v>
      </c>
      <c r="M18" s="134"/>
      <c r="N18" s="164">
        <f t="shared" si="2"/>
        <v>20</v>
      </c>
      <c r="O18" s="154"/>
      <c r="P18" s="154"/>
      <c r="Q18" s="155"/>
      <c r="R18" s="155" t="str">
        <f t="shared" si="3"/>
        <v>Subscapular sf</v>
      </c>
      <c r="S18" s="165"/>
      <c r="T18" s="165"/>
      <c r="U18" s="180">
        <f t="shared" si="4"/>
        <v>20</v>
      </c>
      <c r="V18" s="143" t="s">
        <v>27</v>
      </c>
      <c r="W18" s="32">
        <f>1/5.07*(+U18*((170.18/U$14)^1)-17.2)</f>
        <v>0.25598147671726279</v>
      </c>
      <c r="X18" s="181"/>
      <c r="Y18" s="143"/>
      <c r="Z18" s="145"/>
      <c r="AA18" s="145"/>
    </row>
    <row r="19" spans="1:27" ht="18" customHeight="1">
      <c r="B19" s="161" t="str">
        <f>IF(Info!D34,"Biceps sf","PL Bíceps")</f>
        <v>Biceps sf</v>
      </c>
      <c r="C19" s="116"/>
      <c r="D19" s="116"/>
      <c r="E19" s="122"/>
      <c r="F19" s="110"/>
      <c r="G19" s="85">
        <v>7</v>
      </c>
      <c r="H19" s="85"/>
      <c r="I19" s="85"/>
      <c r="J19" s="134"/>
      <c r="K19" s="182">
        <f t="shared" si="5"/>
        <v>-1</v>
      </c>
      <c r="L19" s="163" t="str">
        <f t="shared" si="6"/>
        <v>Yes</v>
      </c>
      <c r="M19" s="134"/>
      <c r="N19" s="164">
        <f t="shared" si="2"/>
        <v>7</v>
      </c>
      <c r="O19" s="154"/>
      <c r="P19" s="154"/>
      <c r="Q19" s="155"/>
      <c r="R19" s="155" t="str">
        <f t="shared" si="3"/>
        <v>Biceps sf</v>
      </c>
      <c r="S19" s="165"/>
      <c r="T19" s="165"/>
      <c r="U19" s="180">
        <f t="shared" si="4"/>
        <v>7</v>
      </c>
      <c r="V19" s="143" t="s">
        <v>27</v>
      </c>
      <c r="W19" s="32">
        <f>1/2*(+U19*((170.18/U$14)^1)-8)</f>
        <v>-0.76288043478260859</v>
      </c>
      <c r="X19" s="181"/>
      <c r="Y19" s="143"/>
      <c r="Z19" s="145"/>
      <c r="AA19" s="145"/>
    </row>
    <row r="20" spans="1:27" ht="18" customHeight="1">
      <c r="B20" s="161" t="str">
        <f>IF(Info!D34,"Iliac crest sf","PL Cresta Iliaca")</f>
        <v>Iliac crest sf</v>
      </c>
      <c r="C20" s="116"/>
      <c r="D20" s="116"/>
      <c r="E20" s="122"/>
      <c r="F20" s="110"/>
      <c r="G20" s="85">
        <v>43</v>
      </c>
      <c r="H20" s="85"/>
      <c r="I20" s="85"/>
      <c r="J20" s="134"/>
      <c r="K20" s="182">
        <f t="shared" si="5"/>
        <v>-1</v>
      </c>
      <c r="L20" s="163" t="str">
        <f t="shared" si="6"/>
        <v>Yes</v>
      </c>
      <c r="M20" s="134"/>
      <c r="N20" s="164">
        <f t="shared" si="2"/>
        <v>43</v>
      </c>
      <c r="O20" s="154"/>
      <c r="P20" s="154"/>
      <c r="Q20" s="155"/>
      <c r="R20" s="155" t="str">
        <f t="shared" si="3"/>
        <v>Iliac crest sf</v>
      </c>
      <c r="S20" s="165"/>
      <c r="T20" s="165"/>
      <c r="U20" s="180">
        <f t="shared" si="4"/>
        <v>43</v>
      </c>
      <c r="V20" s="143" t="s">
        <v>28</v>
      </c>
      <c r="W20" s="32">
        <f>1/6.8*(+U20*((170.18/U$14)^1)-22.4)</f>
        <v>2.5544597186700773</v>
      </c>
      <c r="X20" s="181"/>
      <c r="Y20" s="143"/>
      <c r="Z20" s="145"/>
      <c r="AA20" s="145"/>
    </row>
    <row r="21" spans="1:27" ht="18" customHeight="1">
      <c r="B21" s="161" t="str">
        <f>IF(Info!D34,"Supraspinale sf","PL Supraespinal")</f>
        <v>Supraspinale sf</v>
      </c>
      <c r="C21" s="116"/>
      <c r="D21" s="116"/>
      <c r="E21" s="122"/>
      <c r="F21" s="110"/>
      <c r="G21" s="85">
        <v>20</v>
      </c>
      <c r="H21" s="85"/>
      <c r="I21" s="85"/>
      <c r="J21" s="134"/>
      <c r="K21" s="162">
        <f t="shared" si="5"/>
        <v>-1</v>
      </c>
      <c r="L21" s="163" t="str">
        <f t="shared" si="6"/>
        <v>Yes</v>
      </c>
      <c r="M21" s="134"/>
      <c r="N21" s="164">
        <f t="shared" si="2"/>
        <v>20</v>
      </c>
      <c r="O21" s="154"/>
      <c r="P21" s="154"/>
      <c r="Q21" s="155"/>
      <c r="R21" s="155" t="str">
        <f t="shared" si="3"/>
        <v>Supraspinale sf</v>
      </c>
      <c r="S21" s="165"/>
      <c r="T21" s="165"/>
      <c r="U21" s="180">
        <f t="shared" si="4"/>
        <v>20</v>
      </c>
      <c r="V21" s="143" t="s">
        <v>27</v>
      </c>
      <c r="W21" s="32">
        <f>1/4.47*(+U21*((170.18/U$14)^1)-15.4)</f>
        <v>0.69302597023635837</v>
      </c>
      <c r="X21" s="181"/>
      <c r="Y21" s="143"/>
      <c r="Z21" s="145"/>
      <c r="AA21" s="145"/>
    </row>
    <row r="22" spans="1:27" ht="18" customHeight="1">
      <c r="B22" s="161" t="str">
        <f>IF(Info!D34,"Abdominal sf","PL Abdominal")</f>
        <v>Abdominal sf</v>
      </c>
      <c r="C22" s="116"/>
      <c r="D22" s="116"/>
      <c r="E22" s="122"/>
      <c r="F22" s="110"/>
      <c r="G22" s="85">
        <v>37</v>
      </c>
      <c r="H22" s="85"/>
      <c r="I22" s="85"/>
      <c r="J22" s="134"/>
      <c r="K22" s="162">
        <f t="shared" si="5"/>
        <v>-1</v>
      </c>
      <c r="L22" s="163" t="str">
        <f t="shared" si="6"/>
        <v>Yes</v>
      </c>
      <c r="M22" s="134"/>
      <c r="N22" s="164">
        <f t="shared" si="2"/>
        <v>37</v>
      </c>
      <c r="O22" s="154"/>
      <c r="P22" s="154"/>
      <c r="Q22" s="155"/>
      <c r="R22" s="155" t="str">
        <f t="shared" si="3"/>
        <v>Abdominal sf</v>
      </c>
      <c r="S22" s="165"/>
      <c r="T22" s="165"/>
      <c r="U22" s="180">
        <f t="shared" si="4"/>
        <v>37</v>
      </c>
      <c r="V22" s="143" t="s">
        <v>27</v>
      </c>
      <c r="W22" s="32">
        <f>1/7.78*(+U22*((170.18/U$14)^1)-25.4)</f>
        <v>1.1338018330166537</v>
      </c>
      <c r="X22" s="181"/>
      <c r="Y22" s="143"/>
      <c r="Z22" s="145"/>
      <c r="AA22" s="145"/>
    </row>
    <row r="23" spans="1:27" ht="18" customHeight="1">
      <c r="B23" s="161" t="str">
        <f>IF(Info!D34,"Thigh sf","PL Muslo")</f>
        <v>Thigh sf</v>
      </c>
      <c r="C23" s="116"/>
      <c r="D23" s="116"/>
      <c r="E23" s="122"/>
      <c r="F23" s="110"/>
      <c r="G23" s="85">
        <v>27</v>
      </c>
      <c r="H23" s="85"/>
      <c r="I23" s="85"/>
      <c r="J23" s="134"/>
      <c r="K23" s="182">
        <f t="shared" si="5"/>
        <v>-1</v>
      </c>
      <c r="L23" s="163" t="str">
        <f t="shared" si="6"/>
        <v>Yes</v>
      </c>
      <c r="M23" s="134"/>
      <c r="N23" s="164">
        <f t="shared" si="2"/>
        <v>27</v>
      </c>
      <c r="O23" s="154"/>
      <c r="P23" s="154"/>
      <c r="Q23" s="155"/>
      <c r="R23" s="155" t="str">
        <f t="shared" si="3"/>
        <v>Thigh sf</v>
      </c>
      <c r="S23" s="165"/>
      <c r="T23" s="165"/>
      <c r="U23" s="180">
        <f t="shared" si="4"/>
        <v>27</v>
      </c>
      <c r="V23" s="143" t="s">
        <v>27</v>
      </c>
      <c r="W23" s="32">
        <f>1/8.33*(+U23*((170.18/U$14)^1)-27)</f>
        <v>-0.24344955373453736</v>
      </c>
      <c r="X23" s="181"/>
      <c r="Y23" s="143"/>
      <c r="Z23" s="145"/>
      <c r="AA23" s="145"/>
    </row>
    <row r="24" spans="1:27" ht="18" customHeight="1" thickBot="1">
      <c r="B24" s="183" t="str">
        <f>IF(Info!D34,"Calf sf","PL Pierna")</f>
        <v>Calf sf</v>
      </c>
      <c r="C24" s="184"/>
      <c r="D24" s="184"/>
      <c r="E24" s="185"/>
      <c r="F24" s="186"/>
      <c r="G24" s="86">
        <v>8</v>
      </c>
      <c r="H24" s="86"/>
      <c r="I24" s="86"/>
      <c r="J24" s="187"/>
      <c r="K24" s="182">
        <f t="shared" si="5"/>
        <v>-1</v>
      </c>
      <c r="L24" s="188" t="str">
        <f t="shared" si="6"/>
        <v>Yes</v>
      </c>
      <c r="M24" s="187"/>
      <c r="N24" s="189">
        <f t="shared" si="2"/>
        <v>8</v>
      </c>
      <c r="O24" s="154"/>
      <c r="P24" s="154"/>
      <c r="Q24" s="155"/>
      <c r="R24" s="168" t="str">
        <f t="shared" si="3"/>
        <v>Calf sf</v>
      </c>
      <c r="S24" s="169"/>
      <c r="T24" s="169"/>
      <c r="U24" s="170">
        <f t="shared" si="4"/>
        <v>8</v>
      </c>
      <c r="V24" s="173" t="s">
        <v>27</v>
      </c>
      <c r="W24" s="33">
        <f>1/4.67*(+U24*((170.18/U$14)^1)-16)</f>
        <v>-1.8417279582906618</v>
      </c>
      <c r="X24" s="172"/>
      <c r="Y24" s="173"/>
      <c r="Z24" s="174"/>
      <c r="AA24" s="145"/>
    </row>
    <row r="25" spans="1:27" ht="18" customHeight="1">
      <c r="B25" s="161" t="str">
        <f>IF(Info!D34,"Arm girth relaxed","PR Brazo relajado")</f>
        <v>Arm girth relaxed</v>
      </c>
      <c r="C25" s="116"/>
      <c r="D25" s="116"/>
      <c r="E25" s="122"/>
      <c r="F25" s="110"/>
      <c r="G25" s="85">
        <v>37</v>
      </c>
      <c r="H25" s="85"/>
      <c r="I25" s="85"/>
      <c r="J25" s="134"/>
      <c r="K25" s="151">
        <f t="shared" si="5"/>
        <v>-1</v>
      </c>
      <c r="L25" s="163" t="str">
        <f>IF(ABS(K25)&gt;1%,"Yes","No")</f>
        <v>Yes</v>
      </c>
      <c r="M25" s="134"/>
      <c r="N25" s="164">
        <f t="shared" si="2"/>
        <v>37</v>
      </c>
      <c r="O25" s="154"/>
      <c r="P25" s="154"/>
      <c r="Q25" s="155"/>
      <c r="R25" s="155" t="str">
        <f t="shared" si="3"/>
        <v>Arm girth relaxed</v>
      </c>
      <c r="S25" s="165"/>
      <c r="T25" s="165"/>
      <c r="U25" s="180">
        <f t="shared" si="4"/>
        <v>37</v>
      </c>
      <c r="V25" s="143" t="s">
        <v>26</v>
      </c>
      <c r="W25" s="32">
        <f>1/2.33*(+U25*((170.18/U$14)^1)-26.89)</f>
        <v>3.1463426012315727</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33.230088815692248</v>
      </c>
      <c r="V26" s="143" t="s">
        <v>26</v>
      </c>
      <c r="W26" s="32">
        <f>1/1.91*(+U26*((170.18/U$14)^1)-22.05)</f>
        <v>4.5467121404919935</v>
      </c>
      <c r="X26" s="181"/>
      <c r="Y26" s="143"/>
      <c r="Z26" s="145"/>
      <c r="AA26" s="145"/>
    </row>
    <row r="27" spans="1:27" ht="18" customHeight="1">
      <c r="B27" s="199" t="str">
        <f>IF(Info!D34,"Arm girth flexed and tensed","PR Brazo flexionado y contraído")</f>
        <v>Arm girth flexed and tensed</v>
      </c>
      <c r="C27" s="116"/>
      <c r="D27" s="116"/>
      <c r="E27" s="122"/>
      <c r="F27" s="110"/>
      <c r="G27" s="85">
        <v>40</v>
      </c>
      <c r="H27" s="85"/>
      <c r="I27" s="85"/>
      <c r="J27" s="134"/>
      <c r="K27" s="182">
        <f t="shared" si="5"/>
        <v>-1</v>
      </c>
      <c r="L27" s="163" t="str">
        <f>IF(ABS(K27)&gt;1%,"Yes","No")</f>
        <v>Yes</v>
      </c>
      <c r="M27" s="134"/>
      <c r="N27" s="164">
        <f>IF(I27=0,AVERAGE(G27,H27),MEDIAN(G27,H27,I27))</f>
        <v>40</v>
      </c>
      <c r="O27" s="154"/>
      <c r="P27" s="154"/>
      <c r="Q27" s="155"/>
      <c r="R27" s="155" t="str">
        <f t="shared" si="3"/>
        <v>Arm girth flexed and tensed</v>
      </c>
      <c r="S27" s="165"/>
      <c r="T27" s="165"/>
      <c r="U27" s="180">
        <f>+N27</f>
        <v>40</v>
      </c>
      <c r="V27" s="143" t="s">
        <v>26</v>
      </c>
      <c r="W27" s="32">
        <f>1/2.37*(+U27*((170.18/U$14)^1)-29.41)</f>
        <v>3.2006971197945329</v>
      </c>
      <c r="X27" s="181"/>
      <c r="Y27" s="143"/>
      <c r="Z27" s="145"/>
      <c r="AA27" s="145"/>
    </row>
    <row r="28" spans="1:27" ht="18" customHeight="1">
      <c r="B28" s="200" t="str">
        <f>IF(Info!D34,"Waist girth","PR Cintura")</f>
        <v>Waist girth</v>
      </c>
      <c r="C28" s="116"/>
      <c r="D28" s="116"/>
      <c r="E28" s="122"/>
      <c r="F28" s="110"/>
      <c r="G28" s="85">
        <v>101</v>
      </c>
      <c r="H28" s="85"/>
      <c r="I28" s="85"/>
      <c r="J28" s="134"/>
      <c r="K28" s="182">
        <f t="shared" si="5"/>
        <v>-1</v>
      </c>
      <c r="L28" s="163" t="str">
        <f>IF(ABS(K28)&gt;1%,"Yes","No")</f>
        <v>Yes</v>
      </c>
      <c r="M28" s="134"/>
      <c r="N28" s="164">
        <f>IF(I28=0,AVERAGE(G28,H28),MEDIAN(G28,H28,I28))</f>
        <v>101</v>
      </c>
      <c r="O28" s="154"/>
      <c r="P28" s="154"/>
      <c r="Q28" s="155"/>
      <c r="R28" s="155" t="str">
        <f t="shared" si="3"/>
        <v>Waist girth</v>
      </c>
      <c r="S28" s="165"/>
      <c r="T28" s="165"/>
      <c r="U28" s="180">
        <f>+N28</f>
        <v>101</v>
      </c>
      <c r="V28" s="143" t="s">
        <v>26</v>
      </c>
      <c r="W28" s="32">
        <f>1/4.45*(+U28*((170.18/U$14)^1)-71.91)</f>
        <v>4.8323644357596489</v>
      </c>
      <c r="X28" s="181"/>
      <c r="Y28" s="143"/>
      <c r="Z28" s="145"/>
      <c r="AA28" s="145"/>
    </row>
    <row r="29" spans="1:27" ht="18" customHeight="1">
      <c r="B29" s="200" t="str">
        <f>IF(Info!D34,"Hips girth","PR Caderas")</f>
        <v>Hips girth</v>
      </c>
      <c r="C29" s="116"/>
      <c r="D29" s="116"/>
      <c r="E29" s="122"/>
      <c r="F29" s="110"/>
      <c r="G29" s="85">
        <v>115</v>
      </c>
      <c r="H29" s="85"/>
      <c r="I29" s="85"/>
      <c r="J29" s="134"/>
      <c r="K29" s="182">
        <f t="shared" si="5"/>
        <v>-1</v>
      </c>
      <c r="L29" s="163" t="str">
        <f>IF(ABS(K29)&gt;1%,"Yes","No")</f>
        <v>Yes</v>
      </c>
      <c r="M29" s="134"/>
      <c r="N29" s="164">
        <f>IF(I29=0,AVERAGE(G29,H29),MEDIAN(G29,H29,I29))</f>
        <v>115</v>
      </c>
      <c r="O29" s="154"/>
      <c r="P29" s="154"/>
      <c r="Q29" s="155"/>
      <c r="R29" s="155" t="str">
        <f t="shared" si="3"/>
        <v>Hips girth</v>
      </c>
      <c r="S29" s="165"/>
      <c r="T29" s="165"/>
      <c r="U29" s="180">
        <f>+N29</f>
        <v>115</v>
      </c>
      <c r="V29" s="143" t="s">
        <v>26</v>
      </c>
      <c r="W29" s="32">
        <f>1/5.58*(+U29*((170.18/U$14)^1)-94.67)</f>
        <v>2.0954301075268811</v>
      </c>
      <c r="X29" s="181"/>
      <c r="Y29" s="143"/>
      <c r="Z29" s="145"/>
      <c r="AA29" s="145"/>
    </row>
    <row r="30" spans="1:27" ht="18" customHeight="1">
      <c r="B30" s="200" t="str">
        <f>IF(Info!D34,"Thigh middle girth","PR Muslo medio")</f>
        <v>Thigh middle girth</v>
      </c>
      <c r="C30" s="116"/>
      <c r="D30" s="116"/>
      <c r="E30" s="122"/>
      <c r="F30" s="110"/>
      <c r="G30" s="85">
        <v>60.5</v>
      </c>
      <c r="H30" s="85"/>
      <c r="I30" s="85"/>
      <c r="J30" s="134"/>
      <c r="K30" s="182">
        <f>+(H30-G30)/(AVERAGE(G30:H30))</f>
        <v>-1</v>
      </c>
      <c r="L30" s="163" t="str">
        <f>IF(ABS(K30)&gt;1%,"Yes","No")</f>
        <v>Yes</v>
      </c>
      <c r="M30" s="134"/>
      <c r="N30" s="164">
        <f>IF(I30=0,AVERAGE(G30,H30),MEDIAN(G30,H30,I30))</f>
        <v>60.5</v>
      </c>
      <c r="O30" s="154"/>
      <c r="P30" s="154"/>
      <c r="Q30" s="155"/>
      <c r="R30" s="155" t="str">
        <f t="shared" si="3"/>
        <v>Thigh middle girth</v>
      </c>
      <c r="S30" s="165"/>
      <c r="T30" s="165"/>
      <c r="U30" s="180">
        <f>+N30</f>
        <v>60.5</v>
      </c>
      <c r="V30" s="143" t="s">
        <v>26</v>
      </c>
      <c r="W30" s="32">
        <f>1/4.56*(+U30*((170.18/U$14)^1)-53.2)</f>
        <v>0.60436927917620065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52.01769983530756</v>
      </c>
      <c r="V31" s="143" t="s">
        <v>26</v>
      </c>
      <c r="W31" s="32">
        <f>1/3.59*(+U31*((170.18/U$14)^1)-47.34)</f>
        <v>0.21468474926220232</v>
      </c>
      <c r="X31" s="181"/>
      <c r="Y31" s="143"/>
      <c r="Z31" s="145"/>
      <c r="AA31" s="145"/>
    </row>
    <row r="32" spans="1:27" ht="18" customHeight="1">
      <c r="B32" s="161" t="str">
        <f>IF(Info!D34,"Calf girth","PR Pierna")</f>
        <v>Calf girth</v>
      </c>
      <c r="C32" s="116"/>
      <c r="D32" s="116"/>
      <c r="E32" s="122"/>
      <c r="F32" s="110"/>
      <c r="G32" s="85">
        <v>41.5</v>
      </c>
      <c r="H32" s="85"/>
      <c r="I32" s="85"/>
      <c r="J32" s="134"/>
      <c r="K32" s="182">
        <f t="shared" si="5"/>
        <v>-1</v>
      </c>
      <c r="L32" s="163" t="str">
        <f>IF(ABS(K32)&gt;1%,"Yes","No")</f>
        <v>Yes</v>
      </c>
      <c r="M32" s="134"/>
      <c r="N32" s="164">
        <f>IF(I32=0,AVERAGE(G32,H32),MEDIAN(G32,H32,I32))</f>
        <v>41.5</v>
      </c>
      <c r="O32" s="154"/>
      <c r="P32" s="154"/>
      <c r="Q32" s="155"/>
      <c r="R32" s="155" t="str">
        <f t="shared" si="3"/>
        <v>Calf girth</v>
      </c>
      <c r="S32" s="165"/>
      <c r="T32" s="165"/>
      <c r="U32" s="201">
        <f>+N32</f>
        <v>41.5</v>
      </c>
      <c r="V32" s="143" t="s">
        <v>26</v>
      </c>
      <c r="W32" s="32">
        <f>1/2.3*(+U32*((170.18/U$14)^1)-35.25)</f>
        <v>1.3621691871455566</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38.986725877128166</v>
      </c>
      <c r="V33" s="173" t="s">
        <v>26</v>
      </c>
      <c r="W33" s="33">
        <f>1/1.97*(+U33*((170.18/U$14)^1)-30.22)</f>
        <v>2.9636973343899542</v>
      </c>
      <c r="X33" s="172"/>
      <c r="Y33" s="173"/>
      <c r="Z33" s="174"/>
      <c r="AA33" s="145"/>
    </row>
    <row r="34" spans="1:27" ht="18" customHeight="1" thickBot="1">
      <c r="B34" s="161" t="str">
        <f>IF(Info!D34,"Humerus breadth","D Húmero")</f>
        <v>Humerus breadth</v>
      </c>
      <c r="C34" s="116"/>
      <c r="D34" s="116"/>
      <c r="E34" s="122"/>
      <c r="F34" s="110"/>
      <c r="G34" s="87">
        <v>7.2</v>
      </c>
      <c r="H34" s="87"/>
      <c r="I34" s="87"/>
      <c r="J34" s="134"/>
      <c r="K34" s="151">
        <f t="shared" si="5"/>
        <v>-1</v>
      </c>
      <c r="L34" s="209" t="str">
        <f>IF(ABS(K34)&gt;1%,"Yes","No")</f>
        <v>Yes</v>
      </c>
      <c r="M34" s="134"/>
      <c r="N34" s="210">
        <f>IF(I34=0,AVERAGE(G34,H34),MEDIAN(G34,H34,I34))</f>
        <v>7.2</v>
      </c>
      <c r="O34" s="154"/>
      <c r="P34" s="154"/>
      <c r="Q34" s="155"/>
      <c r="R34" s="155" t="str">
        <f t="shared" si="3"/>
        <v>Humerus breadth</v>
      </c>
      <c r="S34" s="165"/>
      <c r="T34" s="165"/>
      <c r="U34" s="180">
        <f>+N34</f>
        <v>7.2</v>
      </c>
      <c r="V34" s="143" t="s">
        <v>26</v>
      </c>
      <c r="W34" s="32">
        <f>1/0.35*(+U34*((170.18/U$14)^1)-6.48)</f>
        <v>0.51204968944099305</v>
      </c>
      <c r="X34" s="181"/>
      <c r="Y34" s="143"/>
      <c r="Z34" s="145"/>
      <c r="AA34" s="145"/>
    </row>
    <row r="35" spans="1:27" ht="18" customHeight="1">
      <c r="B35" s="161" t="str">
        <f>IF(Info!D34,"Bi-styloid breadth","D Biestiloideo")</f>
        <v>Bi-styloid breadth</v>
      </c>
      <c r="C35" s="116"/>
      <c r="D35" s="116"/>
      <c r="E35" s="122"/>
      <c r="F35" s="110"/>
      <c r="G35" s="91">
        <v>5.8</v>
      </c>
      <c r="H35" s="91"/>
      <c r="I35" s="91"/>
      <c r="J35" s="134"/>
      <c r="K35" s="151">
        <f>+(H35-G35)/(AVERAGE(G35:H35))</f>
        <v>-1</v>
      </c>
      <c r="L35" s="209" t="str">
        <f>IF(ABS(K35)&gt;1%,"Yes","No")</f>
        <v>Yes</v>
      </c>
      <c r="M35" s="134"/>
      <c r="N35" s="210">
        <f>IF(I35=0,AVERAGE(G35,H35),MEDIAN(G35,H35,I35))</f>
        <v>5.8</v>
      </c>
      <c r="O35" s="154"/>
      <c r="P35" s="154"/>
      <c r="Q35" s="155"/>
      <c r="R35" s="155" t="str">
        <f t="shared" si="3"/>
        <v>Bi-styloid breadth</v>
      </c>
      <c r="S35" s="165"/>
      <c r="T35" s="165"/>
      <c r="U35" s="180">
        <f>+N35</f>
        <v>5.8</v>
      </c>
      <c r="V35" s="143" t="s">
        <v>26</v>
      </c>
      <c r="W35" s="32">
        <f>1/0.28*(+U35*((170.18/U$14)^1)-5.21)</f>
        <v>0.55131987577639674</v>
      </c>
      <c r="X35" s="181"/>
      <c r="Y35" s="143"/>
      <c r="Z35" s="145"/>
      <c r="AA35" s="145"/>
    </row>
    <row r="36" spans="1:27" ht="18" customHeight="1" thickBot="1">
      <c r="B36" s="183" t="str">
        <f>IF(Info!D34,"Femur breadth","D Fémur")</f>
        <v>Femur breadth</v>
      </c>
      <c r="C36" s="184"/>
      <c r="D36" s="184"/>
      <c r="E36" s="185"/>
      <c r="F36" s="186"/>
      <c r="G36" s="86">
        <v>10.8</v>
      </c>
      <c r="H36" s="86"/>
      <c r="I36" s="86"/>
      <c r="J36" s="187"/>
      <c r="K36" s="182">
        <f>+(H36-G36)/(AVERAGE(G36:H36))</f>
        <v>-1</v>
      </c>
      <c r="L36" s="188" t="str">
        <f>IF(ABS(K36)&gt;1%,"Yes","No")</f>
        <v>Yes</v>
      </c>
      <c r="M36" s="187"/>
      <c r="N36" s="189">
        <f>IF(I36=0,AVERAGE(G36,H36),MEDIAN(G36,H36,I36))</f>
        <v>10.8</v>
      </c>
      <c r="O36" s="154"/>
      <c r="P36" s="154"/>
      <c r="Q36" s="155"/>
      <c r="R36" s="211" t="str">
        <f t="shared" si="3"/>
        <v>Femur breadth</v>
      </c>
      <c r="S36" s="212"/>
      <c r="T36" s="212"/>
      <c r="U36" s="213">
        <f>+N36</f>
        <v>10.8</v>
      </c>
      <c r="V36" s="214" t="s">
        <v>26</v>
      </c>
      <c r="W36" s="215">
        <f>1/0.48*(+U36*((170.18/U$14)^1)-9.52)</f>
        <v>0.97672101449275417</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17"/>
      <c r="L39" s="253"/>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17"/>
      <c r="L40" s="253"/>
      <c r="M40" s="225"/>
      <c r="N40" s="224"/>
      <c r="Q40" s="113"/>
      <c r="R40" s="113"/>
      <c r="S40" s="226" t="str">
        <f>'3'!S40</f>
        <v>Somatotype</v>
      </c>
      <c r="T40" s="227" t="str">
        <f>IF(Info!D34,"Endomorphy","Endomorfia")</f>
        <v>Endomorphy</v>
      </c>
      <c r="U40" s="201">
        <f>-0.7182+0.1451*((U17+U18+U21)*(170.18/U14))-0.00068*(((U17+U18+U21)*(170.18/U14))^2)+0.0000014*(((U17+U18+U21)*(170.18/U14))^3)</f>
        <v>4.843148371214034</v>
      </c>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17"/>
      <c r="L41" s="253"/>
      <c r="M41" s="225"/>
      <c r="N41" s="224"/>
      <c r="O41" s="104"/>
      <c r="P41" s="104"/>
      <c r="Q41" s="113"/>
      <c r="R41" s="113"/>
      <c r="S41" s="227" t="str">
        <f>'3'!S41</f>
        <v>(Heath-Carter)</v>
      </c>
      <c r="T41" s="227" t="str">
        <f>IF(Info!D34,"Mesomorphy","Mesomorfia")</f>
        <v>Mesomorphy</v>
      </c>
      <c r="U41" s="201">
        <f>(0.858*U34)+(0.601*U36)+(0.188*(U27-(U17/10)))+(0.161*(U32-(U24/10)))-(0.131*U14)+4.5</f>
        <v>6.9115000000000038</v>
      </c>
      <c r="V41" s="104"/>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17"/>
      <c r="L42" s="253"/>
      <c r="M42" s="225"/>
      <c r="N42" s="224"/>
      <c r="O42" s="104"/>
      <c r="P42" s="104"/>
      <c r="Q42" s="113"/>
      <c r="R42" s="113"/>
      <c r="S42" s="104"/>
      <c r="T42" s="227" t="str">
        <f>IF(Info!D34,"Ectomorphy","Ectomorfia")</f>
        <v>Ectomorphy</v>
      </c>
      <c r="U42" s="201">
        <f>IF(V42&gt;40.75,((0.732*V42)-28.58),IF(V42&gt;38.28,((0.463*V42)-17.63),0.1))</f>
        <v>0.69357148340760233</v>
      </c>
      <c r="V42" s="248">
        <f>U14/(U13^(1/3))</f>
        <v>39.575748344292876</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17"/>
      <c r="L43" s="253"/>
      <c r="M43" s="225"/>
      <c r="N43" s="224"/>
      <c r="O43" s="104"/>
      <c r="P43" s="104"/>
      <c r="Q43" s="113"/>
      <c r="R43" s="113"/>
      <c r="S43" s="104"/>
      <c r="T43" s="104"/>
      <c r="V43" s="104"/>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3"/>
        <v>1</v>
      </c>
      <c r="K44" s="217"/>
      <c r="L44" s="253"/>
      <c r="M44" s="225"/>
      <c r="N44" s="224"/>
      <c r="O44" s="154"/>
      <c r="Q44" s="113"/>
      <c r="R44" s="113"/>
      <c r="S44" s="226" t="str">
        <f>'3'!S44</f>
        <v>Body Mass Index (MBI)</v>
      </c>
      <c r="U44" s="201">
        <f>+U13/(U14/100)^2</f>
        <v>29.684546313799622</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17"/>
      <c r="L45" s="253"/>
      <c r="M45" s="225"/>
      <c r="N45" s="224"/>
      <c r="Q45" s="113"/>
      <c r="R45" s="113"/>
      <c r="U45" s="229"/>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17"/>
      <c r="L46" s="253"/>
      <c r="M46" s="225"/>
      <c r="N46" s="224"/>
      <c r="O46" s="104"/>
      <c r="P46" s="104"/>
      <c r="Q46" s="113"/>
      <c r="R46" s="113"/>
      <c r="S46" s="226" t="str">
        <f>'3'!S46</f>
        <v>Waist/Hip ratio</v>
      </c>
      <c r="T46" s="104"/>
      <c r="U46" s="232">
        <f>+U28/U29</f>
        <v>0.87826086956521743</v>
      </c>
      <c r="V46" s="104"/>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17"/>
      <c r="L47" s="217"/>
      <c r="M47" s="224"/>
      <c r="N47" s="224"/>
      <c r="O47" s="104"/>
      <c r="P47" s="104"/>
      <c r="Q47" s="113"/>
      <c r="R47" s="113"/>
      <c r="S47" s="104"/>
      <c r="T47" s="104"/>
      <c r="U47" s="104"/>
      <c r="V47" s="104"/>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17"/>
      <c r="L48" s="217"/>
      <c r="M48" s="224"/>
      <c r="N48" s="224"/>
      <c r="O48" s="104"/>
      <c r="P48" s="104"/>
      <c r="Q48" s="113"/>
      <c r="R48" s="113"/>
      <c r="S48" s="226" t="str">
        <f>'3'!S48</f>
        <v>Sum of 6 skinfolds</v>
      </c>
      <c r="T48" s="104"/>
      <c r="U48" s="235">
        <f>SUM(U17:U18,U21:U24)</f>
        <v>124</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17"/>
      <c r="L49" s="217"/>
      <c r="M49" s="224"/>
      <c r="N49" s="224"/>
      <c r="Q49" s="236"/>
      <c r="R49" s="236"/>
      <c r="S49" s="226" t="str">
        <f>'3'!S49</f>
        <v>Sum of 8 skinfolds</v>
      </c>
      <c r="T49" s="104"/>
      <c r="U49" s="235">
        <f>SUM(U17:U24)</f>
        <v>174</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17"/>
      <c r="L50" s="217"/>
      <c r="M50" s="224"/>
      <c r="N50" s="224"/>
      <c r="O50" s="109"/>
      <c r="P50" s="109"/>
      <c r="Q50" s="236"/>
      <c r="R50" s="236"/>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17"/>
      <c r="L51" s="217"/>
      <c r="M51" s="224"/>
      <c r="N51" s="224"/>
      <c r="Q51" s="113"/>
      <c r="R51" s="113"/>
      <c r="S51" s="226" t="str">
        <f>'3'!S51</f>
        <v>Fat percentage</v>
      </c>
      <c r="U51" s="35">
        <f>IF(U8=1,0.735*(U17+U24)+1,0.61*(U17+U24)+5.1)</f>
        <v>15.7</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17"/>
      <c r="L52" s="217"/>
      <c r="M52" s="224"/>
      <c r="N52" s="224"/>
      <c r="Q52" s="113"/>
      <c r="R52" s="113"/>
      <c r="U52" s="35">
        <f>IF(U8=1,0.153*(U17+U18+U21+U22)+5.783,0.213*(U17+U18+U21+U22)+7.9)</f>
        <v>19.399999999999999</v>
      </c>
      <c r="V52" s="227" t="str">
        <f>'3'!V52</f>
        <v>(Faulkner, from Yuhasz)</v>
      </c>
      <c r="X52" s="235"/>
      <c r="Y52" s="227"/>
      <c r="Z52" s="145"/>
      <c r="AA52" s="145"/>
    </row>
    <row r="53" spans="1:27">
      <c r="B53" s="222"/>
      <c r="C53" s="224"/>
      <c r="D53" s="224"/>
      <c r="E53" s="224"/>
      <c r="F53" s="224"/>
      <c r="G53" s="224"/>
      <c r="H53" s="224"/>
      <c r="I53" s="224"/>
      <c r="J53" s="224"/>
      <c r="K53" s="217"/>
      <c r="L53" s="217"/>
      <c r="M53" s="224"/>
      <c r="N53" s="224"/>
      <c r="Q53" s="113"/>
      <c r="R53" s="113"/>
      <c r="U53" s="35">
        <f>IF(U8=1,0.1051*(U48)+2.58,0.1548*(U48)+3.58)</f>
        <v>15.612399999999999</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17"/>
      <c r="L54" s="217"/>
      <c r="M54" s="224"/>
      <c r="N54" s="224"/>
      <c r="Q54" s="113"/>
      <c r="R54" s="113"/>
      <c r="S54" s="226" t="str">
        <f>'3'!S54</f>
        <v>Muscle percentage</v>
      </c>
      <c r="U54" s="35">
        <f>(U14/100*(0.00744*U26^2+0.00088*U31^2+0.00441*U33^2)+(2.4*(IF(U8=1,1,0)))-0.048*((U10-U11)/365.25)+IF(U7="1",-2,IF(U7="2",1.1,0))+7.8)*100/U13</f>
        <v>35.796031203716943</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17"/>
      <c r="L55" s="217"/>
      <c r="M55" s="224"/>
      <c r="N55" s="224"/>
      <c r="Q55" s="113"/>
      <c r="R55" s="113"/>
      <c r="U55" s="35">
        <f>(U14/100*((0.0064*(U26^2))+(0.0032*(U31^2))+(0.0015*(U33^2)))+(2.56*IF(U8=1,1,0))+(0.136*(U10-U11)/365.25))*100/U13</f>
        <v>52.587689328358003</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17"/>
      <c r="L56" s="217"/>
      <c r="M56" s="224"/>
      <c r="N56" s="224"/>
      <c r="Q56" s="113"/>
      <c r="R56" s="113"/>
      <c r="S56" s="226" t="str">
        <f>'3'!S56</f>
        <v>Bone percentage</v>
      </c>
      <c r="U56" s="35">
        <f>(3.02*(((U14/100)^2)*(U35/100)*(U36/100)*400)^0.712)*100/U13</f>
        <v>13.771036212416822</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17"/>
      <c r="L57" s="217"/>
      <c r="M57" s="224"/>
      <c r="N57" s="224"/>
      <c r="Q57" s="113"/>
      <c r="R57" s="113"/>
      <c r="Z57" s="145"/>
      <c r="AA57" s="145"/>
    </row>
    <row r="58" spans="1:27">
      <c r="B58" s="222"/>
      <c r="C58" s="224"/>
      <c r="D58" s="224"/>
      <c r="E58" s="224"/>
      <c r="F58" s="224"/>
      <c r="G58" s="224"/>
      <c r="H58" s="224"/>
      <c r="I58" s="224"/>
      <c r="J58" s="224"/>
      <c r="K58" s="217"/>
      <c r="L58" s="217"/>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17"/>
      <c r="L59" s="217"/>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17"/>
      <c r="L60" s="217"/>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0</v>
      </c>
      <c r="F61" s="223">
        <f t="shared" si="10"/>
        <v>1</v>
      </c>
      <c r="G61" s="223">
        <f t="shared" si="11"/>
        <v>0</v>
      </c>
      <c r="H61" s="222">
        <f t="shared" si="12"/>
        <v>1</v>
      </c>
      <c r="I61" s="224">
        <f t="shared" si="14"/>
        <v>0</v>
      </c>
      <c r="J61" s="224">
        <f t="shared" si="14"/>
        <v>1</v>
      </c>
      <c r="K61" s="217"/>
      <c r="L61" s="217"/>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0</v>
      </c>
      <c r="F62" s="223">
        <f t="shared" si="10"/>
        <v>1</v>
      </c>
      <c r="G62" s="223">
        <f t="shared" si="11"/>
        <v>0</v>
      </c>
      <c r="H62" s="222">
        <f t="shared" si="12"/>
        <v>1</v>
      </c>
      <c r="I62" s="224">
        <f t="shared" si="14"/>
        <v>0</v>
      </c>
      <c r="J62" s="224">
        <f t="shared" si="14"/>
        <v>1</v>
      </c>
      <c r="K62" s="217"/>
      <c r="L62" s="217"/>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17"/>
      <c r="L63" s="217"/>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2</v>
      </c>
      <c r="E64" s="223">
        <f t="shared" si="15"/>
        <v>2</v>
      </c>
      <c r="F64" s="223">
        <f t="shared" si="15"/>
        <v>21</v>
      </c>
      <c r="G64" s="223">
        <f t="shared" si="15"/>
        <v>0</v>
      </c>
      <c r="H64" s="223" t="e">
        <f t="shared" si="15"/>
        <v>#DIV/0!</v>
      </c>
      <c r="I64" s="224">
        <f t="shared" si="15"/>
        <v>2</v>
      </c>
      <c r="J64" s="224">
        <f t="shared" si="15"/>
        <v>21</v>
      </c>
      <c r="K64" s="217"/>
      <c r="L64" s="217"/>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100.5</v>
      </c>
      <c r="H67" s="245">
        <f t="shared" si="16"/>
        <v>0</v>
      </c>
      <c r="I67" s="245">
        <f t="shared" si="16"/>
        <v>0</v>
      </c>
      <c r="J67" s="224">
        <f>ABS(G67-H67)</f>
        <v>100.5</v>
      </c>
      <c r="K67" s="224">
        <f>ABS(I67-G67)</f>
        <v>100.5</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184</v>
      </c>
      <c r="H68" s="245">
        <f t="shared" si="16"/>
        <v>0</v>
      </c>
      <c r="I68" s="245">
        <f t="shared" si="16"/>
        <v>0</v>
      </c>
      <c r="J68" s="224">
        <f t="shared" ref="J68:J87" si="18">ABS(G68-H68)</f>
        <v>184</v>
      </c>
      <c r="K68" s="224">
        <f t="shared" ref="K68:K87" si="19">ABS(I68-G68)</f>
        <v>184</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12</v>
      </c>
      <c r="H71" s="245">
        <f t="shared" si="16"/>
        <v>0</v>
      </c>
      <c r="I71" s="245">
        <f t="shared" si="16"/>
        <v>0</v>
      </c>
      <c r="J71" s="224">
        <f t="shared" si="18"/>
        <v>12</v>
      </c>
      <c r="K71" s="224">
        <f t="shared" si="19"/>
        <v>12</v>
      </c>
      <c r="L71" s="224">
        <f t="shared" si="20"/>
        <v>0</v>
      </c>
      <c r="M71" s="246">
        <f t="shared" si="21"/>
        <v>0</v>
      </c>
      <c r="N71" s="246">
        <f t="shared" si="22"/>
        <v>0</v>
      </c>
    </row>
    <row r="72" spans="1:22" s="247" customFormat="1">
      <c r="B72" s="269" t="str">
        <f t="shared" si="17"/>
        <v>Subscapular sf</v>
      </c>
      <c r="C72" s="269"/>
      <c r="D72" s="269"/>
      <c r="E72" s="269"/>
      <c r="F72" s="269"/>
      <c r="G72" s="245">
        <f t="shared" si="16"/>
        <v>20</v>
      </c>
      <c r="H72" s="245">
        <f t="shared" si="16"/>
        <v>0</v>
      </c>
      <c r="I72" s="245">
        <f t="shared" si="16"/>
        <v>0</v>
      </c>
      <c r="J72" s="224">
        <f t="shared" si="18"/>
        <v>20</v>
      </c>
      <c r="K72" s="224">
        <f t="shared" si="19"/>
        <v>20</v>
      </c>
      <c r="L72" s="224">
        <f t="shared" si="20"/>
        <v>0</v>
      </c>
      <c r="M72" s="246">
        <f t="shared" si="21"/>
        <v>0</v>
      </c>
      <c r="N72" s="246">
        <f t="shared" si="22"/>
        <v>0</v>
      </c>
    </row>
    <row r="73" spans="1:22" s="247" customFormat="1">
      <c r="B73" s="269" t="str">
        <f t="shared" si="17"/>
        <v>Biceps sf</v>
      </c>
      <c r="C73" s="269"/>
      <c r="D73" s="269"/>
      <c r="E73" s="269"/>
      <c r="F73" s="269"/>
      <c r="G73" s="245">
        <f t="shared" si="16"/>
        <v>7</v>
      </c>
      <c r="H73" s="245">
        <f t="shared" si="16"/>
        <v>0</v>
      </c>
      <c r="I73" s="245">
        <f t="shared" si="16"/>
        <v>0</v>
      </c>
      <c r="J73" s="224">
        <f t="shared" si="18"/>
        <v>7</v>
      </c>
      <c r="K73" s="224">
        <f t="shared" si="19"/>
        <v>7</v>
      </c>
      <c r="L73" s="224">
        <f t="shared" si="20"/>
        <v>0</v>
      </c>
      <c r="M73" s="246">
        <f t="shared" si="21"/>
        <v>0</v>
      </c>
      <c r="N73" s="246">
        <f t="shared" si="22"/>
        <v>0</v>
      </c>
    </row>
    <row r="74" spans="1:22" s="247" customFormat="1">
      <c r="B74" s="269" t="str">
        <f t="shared" si="17"/>
        <v>Iliac crest sf</v>
      </c>
      <c r="C74" s="269"/>
      <c r="D74" s="269"/>
      <c r="E74" s="269"/>
      <c r="F74" s="269"/>
      <c r="G74" s="245">
        <f t="shared" si="16"/>
        <v>43</v>
      </c>
      <c r="H74" s="245">
        <f t="shared" si="16"/>
        <v>0</v>
      </c>
      <c r="I74" s="245">
        <f t="shared" si="16"/>
        <v>0</v>
      </c>
      <c r="J74" s="224">
        <f t="shared" si="18"/>
        <v>43</v>
      </c>
      <c r="K74" s="224">
        <f t="shared" si="19"/>
        <v>43</v>
      </c>
      <c r="L74" s="224">
        <f t="shared" si="20"/>
        <v>0</v>
      </c>
      <c r="M74" s="246">
        <f t="shared" si="21"/>
        <v>0</v>
      </c>
      <c r="N74" s="246">
        <f t="shared" si="22"/>
        <v>0</v>
      </c>
    </row>
    <row r="75" spans="1:22" s="247" customFormat="1">
      <c r="B75" s="269" t="str">
        <f t="shared" si="17"/>
        <v>Supraspinale sf</v>
      </c>
      <c r="C75" s="269"/>
      <c r="D75" s="269"/>
      <c r="E75" s="269"/>
      <c r="F75" s="269"/>
      <c r="G75" s="245">
        <f t="shared" si="16"/>
        <v>20</v>
      </c>
      <c r="H75" s="245">
        <f t="shared" si="16"/>
        <v>0</v>
      </c>
      <c r="I75" s="245">
        <f t="shared" si="16"/>
        <v>0</v>
      </c>
      <c r="J75" s="224">
        <f t="shared" si="18"/>
        <v>20</v>
      </c>
      <c r="K75" s="224">
        <f t="shared" si="19"/>
        <v>20</v>
      </c>
      <c r="L75" s="224">
        <f t="shared" si="20"/>
        <v>0</v>
      </c>
      <c r="M75" s="246">
        <f t="shared" si="21"/>
        <v>0</v>
      </c>
      <c r="N75" s="246">
        <f t="shared" si="22"/>
        <v>0</v>
      </c>
    </row>
    <row r="76" spans="1:22" s="247" customFormat="1">
      <c r="B76" s="269" t="str">
        <f t="shared" si="17"/>
        <v>Abdominal sf</v>
      </c>
      <c r="C76" s="269"/>
      <c r="D76" s="269"/>
      <c r="E76" s="269"/>
      <c r="F76" s="269"/>
      <c r="G76" s="245">
        <f t="shared" si="16"/>
        <v>37</v>
      </c>
      <c r="H76" s="245">
        <f t="shared" si="16"/>
        <v>0</v>
      </c>
      <c r="I76" s="245">
        <f t="shared" si="16"/>
        <v>0</v>
      </c>
      <c r="J76" s="224">
        <f t="shared" si="18"/>
        <v>37</v>
      </c>
      <c r="K76" s="224">
        <f t="shared" si="19"/>
        <v>37</v>
      </c>
      <c r="L76" s="224">
        <f t="shared" si="20"/>
        <v>0</v>
      </c>
      <c r="M76" s="246">
        <f t="shared" si="21"/>
        <v>0</v>
      </c>
      <c r="N76" s="246">
        <f t="shared" si="22"/>
        <v>0</v>
      </c>
    </row>
    <row r="77" spans="1:22" s="247" customFormat="1">
      <c r="A77" s="244"/>
      <c r="B77" s="269" t="str">
        <f t="shared" si="17"/>
        <v>Thigh sf</v>
      </c>
      <c r="C77" s="269"/>
      <c r="D77" s="269"/>
      <c r="E77" s="269"/>
      <c r="F77" s="269"/>
      <c r="G77" s="245">
        <f t="shared" si="16"/>
        <v>27</v>
      </c>
      <c r="H77" s="245">
        <f t="shared" si="16"/>
        <v>0</v>
      </c>
      <c r="I77" s="245">
        <f t="shared" si="16"/>
        <v>0</v>
      </c>
      <c r="J77" s="224">
        <f t="shared" si="18"/>
        <v>27</v>
      </c>
      <c r="K77" s="224">
        <f t="shared" si="19"/>
        <v>27</v>
      </c>
      <c r="L77" s="224">
        <f t="shared" si="20"/>
        <v>0</v>
      </c>
      <c r="M77" s="246">
        <f t="shared" si="21"/>
        <v>0</v>
      </c>
      <c r="N77" s="246">
        <f t="shared" si="22"/>
        <v>0</v>
      </c>
    </row>
    <row r="78" spans="1:22" s="247" customFormat="1">
      <c r="B78" s="269" t="str">
        <f t="shared" si="17"/>
        <v>Calf sf</v>
      </c>
      <c r="C78" s="269"/>
      <c r="D78" s="269"/>
      <c r="E78" s="269"/>
      <c r="F78" s="269"/>
      <c r="G78" s="245">
        <f t="shared" si="16"/>
        <v>8</v>
      </c>
      <c r="H78" s="245">
        <f t="shared" si="16"/>
        <v>0</v>
      </c>
      <c r="I78" s="245">
        <f t="shared" si="16"/>
        <v>0</v>
      </c>
      <c r="J78" s="224">
        <f t="shared" si="18"/>
        <v>8</v>
      </c>
      <c r="K78" s="224">
        <f t="shared" si="19"/>
        <v>8</v>
      </c>
      <c r="L78" s="224">
        <f t="shared" si="20"/>
        <v>0</v>
      </c>
      <c r="M78" s="246">
        <f t="shared" si="21"/>
        <v>0</v>
      </c>
      <c r="N78" s="246">
        <f t="shared" si="22"/>
        <v>0</v>
      </c>
    </row>
    <row r="79" spans="1:22" s="247" customFormat="1">
      <c r="B79" s="269" t="str">
        <f t="shared" si="17"/>
        <v>Arm girth relaxed</v>
      </c>
      <c r="C79" s="269"/>
      <c r="D79" s="269"/>
      <c r="E79" s="269"/>
      <c r="F79" s="269"/>
      <c r="G79" s="245">
        <f t="shared" si="16"/>
        <v>37</v>
      </c>
      <c r="H79" s="245">
        <f t="shared" si="16"/>
        <v>0</v>
      </c>
      <c r="I79" s="245">
        <f t="shared" si="16"/>
        <v>0</v>
      </c>
      <c r="J79" s="224">
        <f t="shared" si="18"/>
        <v>37</v>
      </c>
      <c r="K79" s="224">
        <f t="shared" si="19"/>
        <v>37</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40</v>
      </c>
      <c r="H80" s="245">
        <f t="shared" si="23"/>
        <v>0</v>
      </c>
      <c r="I80" s="245">
        <f t="shared" si="23"/>
        <v>0</v>
      </c>
      <c r="J80" s="224">
        <f t="shared" si="18"/>
        <v>40</v>
      </c>
      <c r="K80" s="224">
        <f t="shared" si="19"/>
        <v>40</v>
      </c>
      <c r="L80" s="224">
        <f t="shared" si="20"/>
        <v>0</v>
      </c>
      <c r="M80" s="246">
        <f t="shared" si="21"/>
        <v>0</v>
      </c>
      <c r="N80" s="246">
        <f t="shared" si="22"/>
        <v>0</v>
      </c>
    </row>
    <row r="81" spans="1:14" s="247" customFormat="1">
      <c r="B81" s="269" t="str">
        <f>B28</f>
        <v>Waist girth</v>
      </c>
      <c r="C81" s="269"/>
      <c r="D81" s="269"/>
      <c r="E81" s="269"/>
      <c r="F81" s="269"/>
      <c r="G81" s="245">
        <f t="shared" si="23"/>
        <v>101</v>
      </c>
      <c r="H81" s="245">
        <f t="shared" si="23"/>
        <v>0</v>
      </c>
      <c r="I81" s="245">
        <f t="shared" si="23"/>
        <v>0</v>
      </c>
      <c r="J81" s="224">
        <f t="shared" si="18"/>
        <v>101</v>
      </c>
      <c r="K81" s="224">
        <f t="shared" si="19"/>
        <v>101</v>
      </c>
      <c r="L81" s="224">
        <f t="shared" si="20"/>
        <v>0</v>
      </c>
      <c r="M81" s="246">
        <f t="shared" si="21"/>
        <v>0</v>
      </c>
      <c r="N81" s="246">
        <f t="shared" si="22"/>
        <v>0</v>
      </c>
    </row>
    <row r="82" spans="1:14" s="247" customFormat="1">
      <c r="B82" s="269" t="str">
        <f>B29</f>
        <v>Hips girth</v>
      </c>
      <c r="C82" s="269"/>
      <c r="D82" s="269"/>
      <c r="E82" s="269"/>
      <c r="F82" s="269"/>
      <c r="G82" s="245">
        <f t="shared" si="23"/>
        <v>115</v>
      </c>
      <c r="H82" s="245">
        <f t="shared" si="23"/>
        <v>0</v>
      </c>
      <c r="I82" s="245">
        <f t="shared" si="23"/>
        <v>0</v>
      </c>
      <c r="J82" s="224">
        <f t="shared" si="18"/>
        <v>115</v>
      </c>
      <c r="K82" s="224">
        <f t="shared" si="19"/>
        <v>115</v>
      </c>
      <c r="L82" s="224">
        <f t="shared" si="20"/>
        <v>0</v>
      </c>
      <c r="M82" s="246">
        <f t="shared" si="21"/>
        <v>0</v>
      </c>
      <c r="N82" s="246">
        <f t="shared" si="22"/>
        <v>0</v>
      </c>
    </row>
    <row r="83" spans="1:14">
      <c r="A83" s="247"/>
      <c r="B83" s="269" t="str">
        <f>B30</f>
        <v>Thigh middle girth</v>
      </c>
      <c r="C83" s="269"/>
      <c r="D83" s="269"/>
      <c r="E83" s="269"/>
      <c r="F83" s="269"/>
      <c r="G83" s="245">
        <f t="shared" si="23"/>
        <v>60.5</v>
      </c>
      <c r="H83" s="245">
        <f t="shared" si="23"/>
        <v>0</v>
      </c>
      <c r="I83" s="245">
        <f t="shared" si="23"/>
        <v>0</v>
      </c>
      <c r="J83" s="224">
        <f t="shared" si="18"/>
        <v>60.5</v>
      </c>
      <c r="K83" s="224">
        <f t="shared" si="19"/>
        <v>60.5</v>
      </c>
      <c r="L83" s="224">
        <f t="shared" si="20"/>
        <v>0</v>
      </c>
      <c r="M83" s="246">
        <f t="shared" si="21"/>
        <v>0</v>
      </c>
      <c r="N83" s="246">
        <f t="shared" si="22"/>
        <v>0</v>
      </c>
    </row>
    <row r="84" spans="1:14">
      <c r="B84" s="269" t="str">
        <f>B32</f>
        <v>Calf girth</v>
      </c>
      <c r="C84" s="269"/>
      <c r="D84" s="269"/>
      <c r="E84" s="269"/>
      <c r="F84" s="269"/>
      <c r="G84" s="245">
        <f>+G32</f>
        <v>41.5</v>
      </c>
      <c r="H84" s="245">
        <f>+H32</f>
        <v>0</v>
      </c>
      <c r="I84" s="245">
        <f>+I32</f>
        <v>0</v>
      </c>
      <c r="J84" s="224">
        <f t="shared" si="18"/>
        <v>41.5</v>
      </c>
      <c r="K84" s="224">
        <f t="shared" si="19"/>
        <v>41.5</v>
      </c>
      <c r="L84" s="224">
        <f t="shared" si="20"/>
        <v>0</v>
      </c>
      <c r="M84" s="246">
        <f t="shared" si="21"/>
        <v>0</v>
      </c>
      <c r="N84" s="246">
        <f t="shared" si="22"/>
        <v>0</v>
      </c>
    </row>
    <row r="85" spans="1:14">
      <c r="B85" s="269" t="str">
        <f>B34</f>
        <v>Humerus breadth</v>
      </c>
      <c r="C85" s="269"/>
      <c r="D85" s="269"/>
      <c r="E85" s="269"/>
      <c r="F85" s="269"/>
      <c r="G85" s="245">
        <f t="shared" ref="G85:I87" si="24">+G34</f>
        <v>7.2</v>
      </c>
      <c r="H85" s="245">
        <f t="shared" si="24"/>
        <v>0</v>
      </c>
      <c r="I85" s="245">
        <f t="shared" si="24"/>
        <v>0</v>
      </c>
      <c r="J85" s="224">
        <f t="shared" si="18"/>
        <v>7.2</v>
      </c>
      <c r="K85" s="224">
        <f t="shared" si="19"/>
        <v>7.2</v>
      </c>
      <c r="L85" s="224">
        <f t="shared" si="20"/>
        <v>0</v>
      </c>
      <c r="M85" s="246">
        <f t="shared" si="21"/>
        <v>0</v>
      </c>
      <c r="N85" s="246">
        <f t="shared" si="22"/>
        <v>0</v>
      </c>
    </row>
    <row r="86" spans="1:14">
      <c r="B86" s="269" t="str">
        <f>B35</f>
        <v>Bi-styloid breadth</v>
      </c>
      <c r="C86" s="269"/>
      <c r="D86" s="269"/>
      <c r="E86" s="269"/>
      <c r="F86" s="269"/>
      <c r="G86" s="245">
        <f t="shared" si="24"/>
        <v>5.8</v>
      </c>
      <c r="H86" s="245">
        <f t="shared" si="24"/>
        <v>0</v>
      </c>
      <c r="I86" s="245">
        <f t="shared" si="24"/>
        <v>0</v>
      </c>
      <c r="J86" s="224">
        <f t="shared" si="18"/>
        <v>5.8</v>
      </c>
      <c r="K86" s="224">
        <f t="shared" si="19"/>
        <v>5.8</v>
      </c>
      <c r="L86" s="224">
        <f t="shared" si="20"/>
        <v>0</v>
      </c>
      <c r="M86" s="246">
        <f t="shared" si="21"/>
        <v>0</v>
      </c>
      <c r="N86" s="246">
        <f t="shared" si="22"/>
        <v>0</v>
      </c>
    </row>
    <row r="87" spans="1:14">
      <c r="B87" s="269" t="str">
        <f>B36</f>
        <v>Femur breadth</v>
      </c>
      <c r="C87" s="269"/>
      <c r="D87" s="269"/>
      <c r="E87" s="269"/>
      <c r="F87" s="269"/>
      <c r="G87" s="245">
        <f t="shared" si="24"/>
        <v>10.8</v>
      </c>
      <c r="H87" s="245">
        <f t="shared" si="24"/>
        <v>0</v>
      </c>
      <c r="I87" s="245">
        <f t="shared" si="24"/>
        <v>0</v>
      </c>
      <c r="J87" s="224">
        <f t="shared" si="18"/>
        <v>10.8</v>
      </c>
      <c r="K87" s="224">
        <f t="shared" si="19"/>
        <v>10.8</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S0aAMzYJfVtpmckPlhllJnwhBTmWER6Epfy9AibSZa+KTPiv7sWtRQxvVeac+RRr37Coao/gvJhSOK0veL/wvA==" saltValue="41McuMFc4WC2olKzKbHAzA=="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r:id="rId1"/>
  <headerFooter alignWithMargins="0"/>
  <colBreaks count="1" manualBreakCount="1">
    <brk id="15" max="5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91"/>
  <sheetViews>
    <sheetView topLeftCell="A14" zoomScaleNormal="100" zoomScaleSheetLayoutView="75" workbookViewId="0">
      <selection activeCell="G24" sqref="G24"/>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8.88671875" style="104" bestFit="1"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46175</v>
      </c>
      <c r="H10" s="76"/>
      <c r="I10" s="76"/>
      <c r="J10" s="111"/>
      <c r="K10" s="111"/>
      <c r="L10" s="111"/>
      <c r="M10" s="111"/>
      <c r="N10" s="122"/>
      <c r="O10" s="104"/>
      <c r="P10" s="104"/>
      <c r="Q10" s="113"/>
      <c r="R10" s="113" t="str">
        <f t="shared" si="0"/>
        <v>Date of Measurement</v>
      </c>
      <c r="S10" s="124"/>
      <c r="T10" s="124"/>
      <c r="U10" s="131">
        <f t="shared" si="1"/>
        <v>46175</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97.5</v>
      </c>
      <c r="H13" s="84"/>
      <c r="I13" s="84"/>
      <c r="J13" s="150"/>
      <c r="K13" s="151">
        <f>+(H13-G13)/(AVERAGE(G13:H13))</f>
        <v>-1</v>
      </c>
      <c r="L13" s="152" t="str">
        <f>IF(ABS(K13)&gt;1%,"Yes","No")</f>
        <v>Yes</v>
      </c>
      <c r="M13" s="150"/>
      <c r="N13" s="153">
        <f t="shared" ref="N13:N25" si="2">IF(I13=0,AVERAGE(G13,H13),MEDIAN(G13,H13,I13))</f>
        <v>97.5</v>
      </c>
      <c r="O13" s="154"/>
      <c r="P13" s="154"/>
      <c r="Q13" s="155"/>
      <c r="R13" s="156" t="str">
        <f t="shared" ref="R13:R36" si="3">+B13</f>
        <v>Mass</v>
      </c>
      <c r="S13" s="157"/>
      <c r="T13" s="157"/>
      <c r="U13" s="158">
        <f t="shared" ref="U13:U25" si="4">+N13</f>
        <v>97.5</v>
      </c>
      <c r="V13" s="159" t="s">
        <v>25</v>
      </c>
      <c r="W13" s="160">
        <f>1/8.6*(+U13*((170.18/U$14)^3)-64.58)</f>
        <v>1.460404603391247</v>
      </c>
      <c r="X13" s="121"/>
      <c r="Y13" s="107"/>
      <c r="Z13" s="108"/>
      <c r="AA13" s="115"/>
    </row>
    <row r="14" spans="1:27" s="109" customFormat="1">
      <c r="B14" s="161" t="str">
        <f>IF(Info!D34,"Stature","Talla")</f>
        <v>Stature</v>
      </c>
      <c r="C14" s="116"/>
      <c r="D14" s="116"/>
      <c r="E14" s="122"/>
      <c r="F14" s="110"/>
      <c r="G14" s="85">
        <v>184</v>
      </c>
      <c r="H14" s="85"/>
      <c r="I14" s="85"/>
      <c r="J14" s="134"/>
      <c r="K14" s="162">
        <f t="shared" ref="K14:K34" si="5">+(H14-G14)/(AVERAGE(G14:H14))</f>
        <v>-1</v>
      </c>
      <c r="L14" s="163" t="str">
        <f>IF(ABS(K14)&gt;1%,"Yes","No")</f>
        <v>Yes</v>
      </c>
      <c r="M14" s="134"/>
      <c r="N14" s="164">
        <f t="shared" si="2"/>
        <v>184</v>
      </c>
      <c r="O14" s="154"/>
      <c r="P14" s="154"/>
      <c r="Q14" s="155"/>
      <c r="R14" s="155" t="str">
        <f t="shared" si="3"/>
        <v>Stature</v>
      </c>
      <c r="S14" s="165"/>
      <c r="T14" s="165"/>
      <c r="U14" s="166">
        <f t="shared" si="4"/>
        <v>184</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v>12</v>
      </c>
      <c r="H17" s="84"/>
      <c r="I17" s="84"/>
      <c r="J17" s="150"/>
      <c r="K17" s="151">
        <f t="shared" si="5"/>
        <v>-1</v>
      </c>
      <c r="L17" s="152" t="str">
        <f t="shared" ref="L17:L24" si="6">IF(ABS(K17)&gt;5%,"Yes","No")</f>
        <v>Yes</v>
      </c>
      <c r="M17" s="150"/>
      <c r="N17" s="153">
        <f t="shared" si="2"/>
        <v>12</v>
      </c>
      <c r="O17" s="154"/>
      <c r="P17" s="154"/>
      <c r="Q17" s="155"/>
      <c r="R17" s="156" t="str">
        <f t="shared" si="3"/>
        <v>Triceps sf</v>
      </c>
      <c r="S17" s="157"/>
      <c r="T17" s="157"/>
      <c r="U17" s="175">
        <f t="shared" si="4"/>
        <v>12</v>
      </c>
      <c r="V17" s="176" t="s">
        <v>27</v>
      </c>
      <c r="W17" s="177">
        <f>1/4.47*(+U17*((170.18/U$14)^1)-15.4)</f>
        <v>-0.96226048049800639</v>
      </c>
      <c r="X17" s="178"/>
      <c r="Y17" s="176"/>
      <c r="Z17" s="179"/>
      <c r="AA17" s="145"/>
    </row>
    <row r="18" spans="1:27" ht="18" customHeight="1">
      <c r="B18" s="161" t="str">
        <f>IF(Info!D34,"Subscapular sf","PL Subescapular")</f>
        <v>Subscapular sf</v>
      </c>
      <c r="C18" s="116"/>
      <c r="D18" s="116"/>
      <c r="E18" s="122"/>
      <c r="F18" s="110"/>
      <c r="G18" s="85">
        <v>18</v>
      </c>
      <c r="H18" s="85"/>
      <c r="I18" s="85"/>
      <c r="J18" s="134"/>
      <c r="K18" s="162">
        <f t="shared" si="5"/>
        <v>-1</v>
      </c>
      <c r="L18" s="163" t="str">
        <f t="shared" si="6"/>
        <v>Yes</v>
      </c>
      <c r="M18" s="134"/>
      <c r="N18" s="164">
        <f t="shared" si="2"/>
        <v>18</v>
      </c>
      <c r="O18" s="154"/>
      <c r="P18" s="154"/>
      <c r="Q18" s="155"/>
      <c r="R18" s="155" t="str">
        <f t="shared" si="3"/>
        <v>Subscapular sf</v>
      </c>
      <c r="S18" s="165"/>
      <c r="T18" s="165"/>
      <c r="U18" s="180">
        <f t="shared" si="4"/>
        <v>18</v>
      </c>
      <c r="V18" s="143" t="s">
        <v>27</v>
      </c>
      <c r="W18" s="32">
        <f>1/5.07*(+U18*((170.18/U$14)^1)-17.2)</f>
        <v>-0.10886716405111023</v>
      </c>
      <c r="X18" s="181"/>
      <c r="Y18" s="143"/>
      <c r="Z18" s="145"/>
      <c r="AA18" s="145"/>
    </row>
    <row r="19" spans="1:27" ht="18" customHeight="1">
      <c r="B19" s="161" t="str">
        <f>IF(Info!D34,"Biceps sf","PL Bíceps")</f>
        <v>Biceps sf</v>
      </c>
      <c r="C19" s="116"/>
      <c r="D19" s="116"/>
      <c r="E19" s="122"/>
      <c r="F19" s="110"/>
      <c r="G19" s="85">
        <v>5</v>
      </c>
      <c r="H19" s="85"/>
      <c r="I19" s="85"/>
      <c r="J19" s="134"/>
      <c r="K19" s="182">
        <f t="shared" si="5"/>
        <v>-1</v>
      </c>
      <c r="L19" s="163" t="str">
        <f t="shared" si="6"/>
        <v>Yes</v>
      </c>
      <c r="M19" s="134"/>
      <c r="N19" s="164">
        <f t="shared" si="2"/>
        <v>5</v>
      </c>
      <c r="O19" s="154"/>
      <c r="P19" s="154"/>
      <c r="Q19" s="155"/>
      <c r="R19" s="155" t="str">
        <f t="shared" si="3"/>
        <v>Biceps sf</v>
      </c>
      <c r="S19" s="165"/>
      <c r="T19" s="165"/>
      <c r="U19" s="180">
        <f t="shared" si="4"/>
        <v>5</v>
      </c>
      <c r="V19" s="143" t="s">
        <v>27</v>
      </c>
      <c r="W19" s="32">
        <f>1/2*(+U19*((170.18/U$14)^1)-8)</f>
        <v>-1.6877717391304348</v>
      </c>
      <c r="X19" s="181"/>
      <c r="Y19" s="143"/>
      <c r="Z19" s="145"/>
      <c r="AA19" s="145"/>
    </row>
    <row r="20" spans="1:27" ht="18" customHeight="1">
      <c r="B20" s="161" t="str">
        <f>IF(Info!D34,"Iliac crest sf","PL Cresta Iliaca")</f>
        <v>Iliac crest sf</v>
      </c>
      <c r="C20" s="116"/>
      <c r="D20" s="116"/>
      <c r="E20" s="122"/>
      <c r="F20" s="110"/>
      <c r="G20" s="85">
        <v>35</v>
      </c>
      <c r="H20" s="85"/>
      <c r="I20" s="85"/>
      <c r="J20" s="134"/>
      <c r="K20" s="182">
        <f t="shared" si="5"/>
        <v>-1</v>
      </c>
      <c r="L20" s="163" t="str">
        <f t="shared" si="6"/>
        <v>Yes</v>
      </c>
      <c r="M20" s="134"/>
      <c r="N20" s="164">
        <f t="shared" si="2"/>
        <v>35</v>
      </c>
      <c r="O20" s="154"/>
      <c r="P20" s="154"/>
      <c r="Q20" s="155"/>
      <c r="R20" s="155" t="str">
        <f t="shared" si="3"/>
        <v>Iliac crest sf</v>
      </c>
      <c r="S20" s="165"/>
      <c r="T20" s="165"/>
      <c r="U20" s="180">
        <f t="shared" si="4"/>
        <v>35</v>
      </c>
      <c r="V20" s="143" t="s">
        <v>28</v>
      </c>
      <c r="W20" s="32">
        <f>1/6.8*(+U20*((170.18/U$14)^1)-22.4)</f>
        <v>1.4663523017902811</v>
      </c>
      <c r="X20" s="181"/>
      <c r="Y20" s="143"/>
      <c r="Z20" s="145"/>
      <c r="AA20" s="145"/>
    </row>
    <row r="21" spans="1:27" ht="18" customHeight="1">
      <c r="B21" s="161" t="str">
        <f>IF(Info!D34,"Supraspinale sf","PL Supraespinal")</f>
        <v>Supraspinale sf</v>
      </c>
      <c r="C21" s="116"/>
      <c r="D21" s="116"/>
      <c r="E21" s="122"/>
      <c r="F21" s="110"/>
      <c r="G21" s="85">
        <v>17</v>
      </c>
      <c r="H21" s="85"/>
      <c r="I21" s="85"/>
      <c r="J21" s="134"/>
      <c r="K21" s="162">
        <f t="shared" si="5"/>
        <v>-1</v>
      </c>
      <c r="L21" s="163" t="str">
        <f t="shared" si="6"/>
        <v>Yes</v>
      </c>
      <c r="M21" s="134"/>
      <c r="N21" s="164">
        <f t="shared" si="2"/>
        <v>17</v>
      </c>
      <c r="O21" s="154"/>
      <c r="P21" s="154"/>
      <c r="Q21" s="155"/>
      <c r="R21" s="155" t="str">
        <f t="shared" si="3"/>
        <v>Supraspinale sf</v>
      </c>
      <c r="S21" s="165"/>
      <c r="T21" s="165"/>
      <c r="U21" s="180">
        <f t="shared" si="4"/>
        <v>17</v>
      </c>
      <c r="V21" s="143" t="s">
        <v>27</v>
      </c>
      <c r="W21" s="32">
        <f>1/4.47*(+U21*((170.18/U$14)^1)-15.4)</f>
        <v>7.2293551210971488E-2</v>
      </c>
      <c r="X21" s="181"/>
      <c r="Y21" s="143"/>
      <c r="Z21" s="145"/>
      <c r="AA21" s="145"/>
    </row>
    <row r="22" spans="1:27" ht="18" customHeight="1">
      <c r="B22" s="161" t="str">
        <f>IF(Info!D34,"Abdominal sf","PL Abdominal")</f>
        <v>Abdominal sf</v>
      </c>
      <c r="C22" s="116"/>
      <c r="D22" s="116"/>
      <c r="E22" s="122"/>
      <c r="F22" s="110"/>
      <c r="G22" s="85">
        <v>34</v>
      </c>
      <c r="H22" s="85"/>
      <c r="I22" s="85"/>
      <c r="J22" s="134"/>
      <c r="K22" s="162">
        <f t="shared" si="5"/>
        <v>-1</v>
      </c>
      <c r="L22" s="163" t="str">
        <f t="shared" si="6"/>
        <v>Yes</v>
      </c>
      <c r="M22" s="134"/>
      <c r="N22" s="164">
        <f t="shared" si="2"/>
        <v>34</v>
      </c>
      <c r="O22" s="154"/>
      <c r="P22" s="154"/>
      <c r="Q22" s="155"/>
      <c r="R22" s="155" t="str">
        <f t="shared" si="3"/>
        <v>Abdominal sf</v>
      </c>
      <c r="S22" s="165"/>
      <c r="T22" s="165"/>
      <c r="U22" s="180">
        <f t="shared" si="4"/>
        <v>34</v>
      </c>
      <c r="V22" s="143" t="s">
        <v>27</v>
      </c>
      <c r="W22" s="32">
        <f>1/7.78*(+U22*((170.18/U$14)^1)-25.4)</f>
        <v>0.77715994187995974</v>
      </c>
      <c r="X22" s="181"/>
      <c r="Y22" s="143"/>
      <c r="Z22" s="145"/>
      <c r="AA22" s="145"/>
    </row>
    <row r="23" spans="1:27" ht="18" customHeight="1">
      <c r="B23" s="161" t="str">
        <f>IF(Info!D34,"Thigh sf","PL Muslo")</f>
        <v>Thigh sf</v>
      </c>
      <c r="C23" s="116"/>
      <c r="D23" s="116"/>
      <c r="E23" s="122"/>
      <c r="F23" s="110"/>
      <c r="G23" s="85">
        <v>22</v>
      </c>
      <c r="H23" s="85"/>
      <c r="I23" s="85"/>
      <c r="J23" s="134"/>
      <c r="K23" s="182">
        <f t="shared" si="5"/>
        <v>-1</v>
      </c>
      <c r="L23" s="163" t="str">
        <f t="shared" si="6"/>
        <v>Yes</v>
      </c>
      <c r="M23" s="134"/>
      <c r="N23" s="164">
        <f t="shared" si="2"/>
        <v>22</v>
      </c>
      <c r="O23" s="154"/>
      <c r="P23" s="154"/>
      <c r="Q23" s="155"/>
      <c r="R23" s="155" t="str">
        <f t="shared" si="3"/>
        <v>Thigh sf</v>
      </c>
      <c r="S23" s="165"/>
      <c r="T23" s="165"/>
      <c r="U23" s="180">
        <f t="shared" si="4"/>
        <v>22</v>
      </c>
      <c r="V23" s="143" t="s">
        <v>27</v>
      </c>
      <c r="W23" s="32">
        <f>1/8.33*(+U23*((170.18/U$14)^1)-27)</f>
        <v>-0.79860639908137177</v>
      </c>
      <c r="X23" s="181"/>
      <c r="Y23" s="143"/>
      <c r="Z23" s="145"/>
      <c r="AA23" s="145"/>
    </row>
    <row r="24" spans="1:27" ht="18" customHeight="1" thickBot="1">
      <c r="B24" s="183" t="str">
        <f>IF(Info!D34,"Calf sf","PL Pierna")</f>
        <v>Calf sf</v>
      </c>
      <c r="C24" s="184"/>
      <c r="D24" s="184"/>
      <c r="E24" s="185"/>
      <c r="F24" s="186"/>
      <c r="G24" s="86">
        <v>7</v>
      </c>
      <c r="H24" s="86"/>
      <c r="I24" s="86"/>
      <c r="J24" s="187"/>
      <c r="K24" s="182">
        <f t="shared" si="5"/>
        <v>-1</v>
      </c>
      <c r="L24" s="188" t="str">
        <f t="shared" si="6"/>
        <v>Yes</v>
      </c>
      <c r="M24" s="187"/>
      <c r="N24" s="189">
        <f t="shared" si="2"/>
        <v>7</v>
      </c>
      <c r="O24" s="154"/>
      <c r="P24" s="154"/>
      <c r="Q24" s="155"/>
      <c r="R24" s="168" t="str">
        <f t="shared" si="3"/>
        <v>Calf sf</v>
      </c>
      <c r="S24" s="169"/>
      <c r="T24" s="169"/>
      <c r="U24" s="170">
        <f t="shared" si="4"/>
        <v>7</v>
      </c>
      <c r="V24" s="173" t="s">
        <v>27</v>
      </c>
      <c r="W24" s="33">
        <f>1/4.67*(+U24*((170.18/U$14)^1)-16)</f>
        <v>-2.0397774881295971</v>
      </c>
      <c r="X24" s="172"/>
      <c r="Y24" s="173"/>
      <c r="Z24" s="174"/>
      <c r="AA24" s="145"/>
    </row>
    <row r="25" spans="1:27" ht="18" customHeight="1">
      <c r="B25" s="161" t="str">
        <f>IF(Info!D34,"Arm girth relaxed","PR Brazo relajado")</f>
        <v>Arm girth relaxed</v>
      </c>
      <c r="C25" s="116"/>
      <c r="D25" s="116"/>
      <c r="E25" s="122"/>
      <c r="F25" s="110"/>
      <c r="G25" s="85">
        <v>37.5</v>
      </c>
      <c r="H25" s="85"/>
      <c r="I25" s="85"/>
      <c r="J25" s="134"/>
      <c r="K25" s="151">
        <f t="shared" si="5"/>
        <v>-1</v>
      </c>
      <c r="L25" s="163" t="str">
        <f>IF(ABS(K25)&gt;1%,"Yes","No")</f>
        <v>Yes</v>
      </c>
      <c r="M25" s="134"/>
      <c r="N25" s="164">
        <f t="shared" si="2"/>
        <v>37.5</v>
      </c>
      <c r="O25" s="154"/>
      <c r="P25" s="154"/>
      <c r="Q25" s="155"/>
      <c r="R25" s="155" t="str">
        <f t="shared" si="3"/>
        <v>Arm girth relaxed</v>
      </c>
      <c r="S25" s="165"/>
      <c r="T25" s="165"/>
      <c r="U25" s="180">
        <f t="shared" si="4"/>
        <v>37.5</v>
      </c>
      <c r="V25" s="143" t="s">
        <v>26</v>
      </c>
      <c r="W25" s="32">
        <f>1/2.33*(+U25*((170.18/U$14)^1)-26.89)</f>
        <v>3.3448171300615779</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33.730088815692248</v>
      </c>
      <c r="V26" s="143" t="s">
        <v>26</v>
      </c>
      <c r="W26" s="32">
        <f>1/1.91*(+U26*((170.18/U$14)^1)-22.05)</f>
        <v>4.7888302829914258</v>
      </c>
      <c r="X26" s="181"/>
      <c r="Y26" s="143"/>
      <c r="Z26" s="145"/>
      <c r="AA26" s="145"/>
    </row>
    <row r="27" spans="1:27" ht="18" customHeight="1">
      <c r="B27" s="199" t="str">
        <f>IF(Info!D34,"Arm girth flexed and tensed","PR Brazo flexionado y contraído")</f>
        <v>Arm girth flexed and tensed</v>
      </c>
      <c r="C27" s="116"/>
      <c r="D27" s="116"/>
      <c r="E27" s="122"/>
      <c r="F27" s="110"/>
      <c r="G27" s="85">
        <v>40.200000000000003</v>
      </c>
      <c r="H27" s="85"/>
      <c r="I27" s="85"/>
      <c r="J27" s="134"/>
      <c r="K27" s="182">
        <f t="shared" si="5"/>
        <v>-1</v>
      </c>
      <c r="L27" s="163" t="str">
        <f>IF(ABS(K27)&gt;1%,"Yes","No")</f>
        <v>Yes</v>
      </c>
      <c r="M27" s="134"/>
      <c r="N27" s="164">
        <f>IF(I27=0,AVERAGE(G27,H27),MEDIAN(G27,H27,I27))</f>
        <v>40.200000000000003</v>
      </c>
      <c r="O27" s="154"/>
      <c r="P27" s="154"/>
      <c r="Q27" s="155"/>
      <c r="R27" s="155" t="str">
        <f t="shared" si="3"/>
        <v>Arm girth flexed and tensed</v>
      </c>
      <c r="S27" s="165"/>
      <c r="T27" s="165"/>
      <c r="U27" s="180">
        <f>+N27</f>
        <v>40.200000000000003</v>
      </c>
      <c r="V27" s="143" t="s">
        <v>26</v>
      </c>
      <c r="W27" s="32">
        <f>1/2.37*(+U27*((170.18/U$14)^1)-29.41)</f>
        <v>3.2787470188956176</v>
      </c>
      <c r="X27" s="181"/>
      <c r="Y27" s="143"/>
      <c r="Z27" s="145"/>
      <c r="AA27" s="145"/>
    </row>
    <row r="28" spans="1:27" ht="18" customHeight="1">
      <c r="B28" s="200" t="str">
        <f>IF(Info!D34,"Waist girth","PR Cintura")</f>
        <v>Waist girth</v>
      </c>
      <c r="C28" s="116"/>
      <c r="D28" s="116"/>
      <c r="E28" s="122"/>
      <c r="F28" s="110"/>
      <c r="G28" s="85">
        <v>96</v>
      </c>
      <c r="H28" s="85"/>
      <c r="I28" s="85"/>
      <c r="J28" s="134"/>
      <c r="K28" s="182">
        <f t="shared" si="5"/>
        <v>-1</v>
      </c>
      <c r="L28" s="163" t="str">
        <f>IF(ABS(K28)&gt;1%,"Yes","No")</f>
        <v>Yes</v>
      </c>
      <c r="M28" s="134"/>
      <c r="N28" s="164">
        <f>IF(I28=0,AVERAGE(G28,H28),MEDIAN(G28,H28,I28))</f>
        <v>96</v>
      </c>
      <c r="O28" s="154"/>
      <c r="P28" s="154"/>
      <c r="Q28" s="155"/>
      <c r="R28" s="155" t="str">
        <f t="shared" si="3"/>
        <v>Waist girth</v>
      </c>
      <c r="S28" s="165"/>
      <c r="T28" s="165"/>
      <c r="U28" s="180">
        <f>+N28</f>
        <v>96</v>
      </c>
      <c r="V28" s="143" t="s">
        <v>26</v>
      </c>
      <c r="W28" s="32">
        <f>1/4.45*(+U28*((170.18/U$14)^1)-71.91)</f>
        <v>3.7931607230092812</v>
      </c>
      <c r="X28" s="181"/>
      <c r="Y28" s="143"/>
      <c r="Z28" s="145"/>
      <c r="AA28" s="145"/>
    </row>
    <row r="29" spans="1:27" ht="18" customHeight="1">
      <c r="B29" s="200" t="str">
        <f>IF(Info!D34,"Hips girth","PR Caderas")</f>
        <v>Hips girth</v>
      </c>
      <c r="C29" s="116"/>
      <c r="D29" s="116"/>
      <c r="E29" s="122"/>
      <c r="F29" s="110"/>
      <c r="G29" s="85">
        <v>110</v>
      </c>
      <c r="H29" s="85"/>
      <c r="I29" s="85"/>
      <c r="J29" s="134"/>
      <c r="K29" s="182">
        <f t="shared" si="5"/>
        <v>-1</v>
      </c>
      <c r="L29" s="163" t="str">
        <f>IF(ABS(K29)&gt;1%,"Yes","No")</f>
        <v>Yes</v>
      </c>
      <c r="M29" s="134"/>
      <c r="N29" s="164">
        <f>IF(I29=0,AVERAGE(G29,H29),MEDIAN(G29,H29,I29))</f>
        <v>110</v>
      </c>
      <c r="O29" s="154"/>
      <c r="P29" s="154"/>
      <c r="Q29" s="155"/>
      <c r="R29" s="155" t="str">
        <f t="shared" si="3"/>
        <v>Hips girth</v>
      </c>
      <c r="S29" s="165"/>
      <c r="T29" s="165"/>
      <c r="U29" s="180">
        <f>+N29</f>
        <v>110</v>
      </c>
      <c r="V29" s="143" t="s">
        <v>26</v>
      </c>
      <c r="W29" s="32">
        <f>1/5.58*(+U29*((170.18/U$14)^1)-94.67)</f>
        <v>1.2666744584696885</v>
      </c>
      <c r="X29" s="181"/>
      <c r="Y29" s="143"/>
      <c r="Z29" s="145"/>
      <c r="AA29" s="145"/>
    </row>
    <row r="30" spans="1:27" ht="18" customHeight="1">
      <c r="B30" s="200" t="str">
        <f>IF(Info!D34,"Thigh middle girth","PR Muslo medio")</f>
        <v>Thigh middle girth</v>
      </c>
      <c r="C30" s="116"/>
      <c r="D30" s="116"/>
      <c r="E30" s="122"/>
      <c r="F30" s="110"/>
      <c r="G30" s="85">
        <v>60.5</v>
      </c>
      <c r="H30" s="85"/>
      <c r="I30" s="85"/>
      <c r="J30" s="134"/>
      <c r="K30" s="182">
        <f>+(H30-G30)/(AVERAGE(G30:H30))</f>
        <v>-1</v>
      </c>
      <c r="L30" s="163" t="str">
        <f>IF(ABS(K30)&gt;1%,"Yes","No")</f>
        <v>Yes</v>
      </c>
      <c r="M30" s="134"/>
      <c r="N30" s="164">
        <f>IF(I30=0,AVERAGE(G30,H30),MEDIAN(G30,H30,I30))</f>
        <v>60.5</v>
      </c>
      <c r="O30" s="154"/>
      <c r="P30" s="154"/>
      <c r="Q30" s="155"/>
      <c r="R30" s="155" t="str">
        <f t="shared" si="3"/>
        <v>Thigh middle girth</v>
      </c>
      <c r="S30" s="165"/>
      <c r="T30" s="165"/>
      <c r="U30" s="180">
        <f>+N30</f>
        <v>60.5</v>
      </c>
      <c r="V30" s="143" t="s">
        <v>26</v>
      </c>
      <c r="W30" s="32">
        <f>1/4.56*(+U30*((170.18/U$14)^1)-53.2)</f>
        <v>0.60436927917620065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53.588496162102459</v>
      </c>
      <c r="V31" s="143" t="s">
        <v>26</v>
      </c>
      <c r="W31" s="32">
        <f>1/3.59*(+U31*((170.18/U$14)^1)-47.34)</f>
        <v>0.61936883381766406</v>
      </c>
      <c r="X31" s="181"/>
      <c r="Y31" s="143"/>
      <c r="Z31" s="145"/>
      <c r="AA31" s="145"/>
    </row>
    <row r="32" spans="1:27" ht="18" customHeight="1">
      <c r="B32" s="161" t="str">
        <f>IF(Info!D34,"Calf girth","PR Pierna")</f>
        <v>Calf girth</v>
      </c>
      <c r="C32" s="116"/>
      <c r="D32" s="116"/>
      <c r="E32" s="122"/>
      <c r="F32" s="110"/>
      <c r="G32" s="85">
        <v>41.2</v>
      </c>
      <c r="H32" s="85"/>
      <c r="I32" s="85"/>
      <c r="J32" s="134"/>
      <c r="K32" s="182">
        <f t="shared" si="5"/>
        <v>-1</v>
      </c>
      <c r="L32" s="163" t="str">
        <f>IF(ABS(K32)&gt;1%,"Yes","No")</f>
        <v>Yes</v>
      </c>
      <c r="M32" s="134"/>
      <c r="N32" s="164">
        <f>IF(I32=0,AVERAGE(G32,H32),MEDIAN(G32,H32,I32))</f>
        <v>41.2</v>
      </c>
      <c r="O32" s="154"/>
      <c r="P32" s="154"/>
      <c r="Q32" s="155"/>
      <c r="R32" s="155" t="str">
        <f t="shared" si="3"/>
        <v>Calf girth</v>
      </c>
      <c r="S32" s="165"/>
      <c r="T32" s="165"/>
      <c r="U32" s="201">
        <f>+N32</f>
        <v>41.2</v>
      </c>
      <c r="V32" s="143" t="s">
        <v>26</v>
      </c>
      <c r="W32" s="32">
        <f>1/2.3*(+U32*((170.18/U$14)^1)-35.25)</f>
        <v>1.2415311909262776</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39.000885142487149</v>
      </c>
      <c r="V33" s="173" t="s">
        <v>26</v>
      </c>
      <c r="W33" s="33">
        <f>1/1.97*(+U33*((170.18/U$14)^1)-30.22)</f>
        <v>2.9703449391648191</v>
      </c>
      <c r="X33" s="172"/>
      <c r="Y33" s="173"/>
      <c r="Z33" s="174"/>
      <c r="AA33" s="145"/>
    </row>
    <row r="34" spans="1:27" ht="18" customHeight="1" thickBot="1">
      <c r="B34" s="161" t="str">
        <f>IF(Info!D34,"Humerus breadth","D Húmero")</f>
        <v>Humerus breadth</v>
      </c>
      <c r="C34" s="116"/>
      <c r="D34" s="116"/>
      <c r="E34" s="122"/>
      <c r="F34" s="110"/>
      <c r="G34" s="87">
        <v>7.2</v>
      </c>
      <c r="H34" s="87"/>
      <c r="I34" s="87"/>
      <c r="J34" s="134"/>
      <c r="K34" s="151">
        <f t="shared" si="5"/>
        <v>-1</v>
      </c>
      <c r="L34" s="209" t="str">
        <f>IF(ABS(K34)&gt;1%,"Yes","No")</f>
        <v>Yes</v>
      </c>
      <c r="M34" s="134"/>
      <c r="N34" s="210">
        <f>IF(I34=0,AVERAGE(G34,H34),MEDIAN(G34,H34,I34))</f>
        <v>7.2</v>
      </c>
      <c r="O34" s="154"/>
      <c r="P34" s="154"/>
      <c r="Q34" s="155"/>
      <c r="R34" s="155" t="str">
        <f t="shared" si="3"/>
        <v>Humerus breadth</v>
      </c>
      <c r="S34" s="165"/>
      <c r="T34" s="165"/>
      <c r="U34" s="180">
        <f>+N34</f>
        <v>7.2</v>
      </c>
      <c r="V34" s="143" t="s">
        <v>26</v>
      </c>
      <c r="W34" s="32">
        <f>1/0.35*(+U34*((170.18/U$14)^1)-6.48)</f>
        <v>0.51204968944099305</v>
      </c>
      <c r="X34" s="181"/>
      <c r="Y34" s="143"/>
      <c r="Z34" s="145"/>
      <c r="AA34" s="145"/>
    </row>
    <row r="35" spans="1:27" ht="18" customHeight="1">
      <c r="B35" s="161" t="str">
        <f>IF(Info!D34,"Bi-styloid breadth","D Biestiloideo")</f>
        <v>Bi-styloid breadth</v>
      </c>
      <c r="C35" s="116"/>
      <c r="D35" s="116"/>
      <c r="E35" s="122"/>
      <c r="F35" s="110"/>
      <c r="G35" s="91">
        <v>5.8</v>
      </c>
      <c r="H35" s="91"/>
      <c r="I35" s="91"/>
      <c r="J35" s="134"/>
      <c r="K35" s="151">
        <f>+(H35-G35)/(AVERAGE(G35:H35))</f>
        <v>-1</v>
      </c>
      <c r="L35" s="209" t="str">
        <f>IF(ABS(K35)&gt;1%,"Yes","No")</f>
        <v>Yes</v>
      </c>
      <c r="M35" s="134"/>
      <c r="N35" s="210">
        <f>IF(I35=0,AVERAGE(G35,H35),MEDIAN(G35,H35,I35))</f>
        <v>5.8</v>
      </c>
      <c r="O35" s="154"/>
      <c r="P35" s="154"/>
      <c r="Q35" s="155"/>
      <c r="R35" s="155" t="str">
        <f t="shared" si="3"/>
        <v>Bi-styloid breadth</v>
      </c>
      <c r="S35" s="165"/>
      <c r="T35" s="165"/>
      <c r="U35" s="180">
        <f>+N35</f>
        <v>5.8</v>
      </c>
      <c r="V35" s="143" t="s">
        <v>26</v>
      </c>
      <c r="W35" s="32">
        <f>1/0.28*(+U35*((170.18/U$14)^1)-5.21)</f>
        <v>0.55131987577639674</v>
      </c>
      <c r="X35" s="181"/>
      <c r="Y35" s="143"/>
      <c r="Z35" s="145"/>
      <c r="AA35" s="145"/>
    </row>
    <row r="36" spans="1:27" ht="18" customHeight="1" thickBot="1">
      <c r="B36" s="183" t="str">
        <f>IF(Info!D34,"Femur breadth","D Fémur")</f>
        <v>Femur breadth</v>
      </c>
      <c r="C36" s="184"/>
      <c r="D36" s="184"/>
      <c r="E36" s="185"/>
      <c r="F36" s="186"/>
      <c r="G36" s="86">
        <v>10.8</v>
      </c>
      <c r="H36" s="86"/>
      <c r="I36" s="86"/>
      <c r="J36" s="187"/>
      <c r="K36" s="182">
        <f>+(H36-G36)/(AVERAGE(G36:H36))</f>
        <v>-1</v>
      </c>
      <c r="L36" s="188" t="str">
        <f>IF(ABS(K36)&gt;1%,"Yes","No")</f>
        <v>Yes</v>
      </c>
      <c r="M36" s="187"/>
      <c r="N36" s="189">
        <f>IF(I36=0,AVERAGE(G36,H36),MEDIAN(G36,H36,I36))</f>
        <v>10.8</v>
      </c>
      <c r="O36" s="154"/>
      <c r="P36" s="154"/>
      <c r="Q36" s="155"/>
      <c r="R36" s="211" t="str">
        <f t="shared" si="3"/>
        <v>Femur breadth</v>
      </c>
      <c r="S36" s="212"/>
      <c r="T36" s="212"/>
      <c r="U36" s="213">
        <f>+N36</f>
        <v>10.8</v>
      </c>
      <c r="V36" s="214" t="s">
        <v>26</v>
      </c>
      <c r="W36" s="215">
        <f>1/0.48*(+U36*((170.18/U$14)^1)-9.52)</f>
        <v>0.97672101449275417</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17"/>
      <c r="L39" s="253"/>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17"/>
      <c r="L40" s="253"/>
      <c r="M40" s="225"/>
      <c r="N40" s="224"/>
      <c r="Q40" s="113"/>
      <c r="R40" s="113"/>
      <c r="S40" s="226" t="str">
        <f>'3'!S40</f>
        <v>Somatotype</v>
      </c>
      <c r="T40" s="227" t="str">
        <f>IF(Info!D34,"Endomorphy","Endomorfia")</f>
        <v>Endomorphy</v>
      </c>
      <c r="U40" s="201">
        <f>-0.7182+0.1451*((U17+U18+U21)*(170.18/U14))-0.00068*(((U17+U18+U21)*(170.18/U14))^2)+0.0000014*(((U17+U18+U21)*(170.18/U14))^3)</f>
        <v>4.419330745485043</v>
      </c>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17"/>
      <c r="L41" s="253"/>
      <c r="M41" s="225"/>
      <c r="N41" s="224"/>
      <c r="O41" s="104"/>
      <c r="P41" s="104"/>
      <c r="Q41" s="113"/>
      <c r="R41" s="113"/>
      <c r="S41" s="227" t="str">
        <f>'3'!S41</f>
        <v>(Heath-Carter)</v>
      </c>
      <c r="T41" s="227" t="str">
        <f>IF(Info!D34,"Mesomorphy","Mesomorfia")</f>
        <v>Mesomorphy</v>
      </c>
      <c r="U41" s="201">
        <f>(0.858*U34)+(0.601*U36)+(0.188*(U27-(U17/10)))+(0.161*(U32-(U24/10)))-(0.131*U14)+4.5</f>
        <v>6.9168999999999983</v>
      </c>
      <c r="V41" s="104"/>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17"/>
      <c r="L42" s="253"/>
      <c r="M42" s="225"/>
      <c r="N42" s="224"/>
      <c r="O42" s="104"/>
      <c r="P42" s="104"/>
      <c r="Q42" s="113"/>
      <c r="R42" s="113"/>
      <c r="S42" s="104"/>
      <c r="T42" s="227" t="str">
        <f>IF(Info!D34,"Ectomorphy","Ectomorfia")</f>
        <v>Ectomorphy</v>
      </c>
      <c r="U42" s="201">
        <f>IF(V42&gt;40.75,((0.732*V42)-28.58),IF(V42&gt;38.28,((0.463*V42)-17.63),0.1))</f>
        <v>0.87961030924197559</v>
      </c>
      <c r="V42" s="248">
        <f>U14/(U13^(1/3))</f>
        <v>39.977560063157611</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17"/>
      <c r="L43" s="253"/>
      <c r="M43" s="225"/>
      <c r="N43" s="224"/>
      <c r="O43" s="104"/>
      <c r="P43" s="104"/>
      <c r="Q43" s="113"/>
      <c r="R43" s="113"/>
      <c r="S43" s="104"/>
      <c r="T43" s="104"/>
      <c r="V43" s="104"/>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3"/>
        <v>1</v>
      </c>
      <c r="K44" s="217"/>
      <c r="L44" s="253"/>
      <c r="M44" s="225"/>
      <c r="N44" s="224"/>
      <c r="O44" s="154"/>
      <c r="Q44" s="113"/>
      <c r="R44" s="113"/>
      <c r="S44" s="226" t="str">
        <f>'3'!S44</f>
        <v>Body Mass Index (MBI)</v>
      </c>
      <c r="U44" s="201">
        <f>+U13/(U14/100)^2</f>
        <v>28.798440453686197</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17"/>
      <c r="L45" s="253"/>
      <c r="M45" s="225"/>
      <c r="N45" s="224"/>
      <c r="Q45" s="113"/>
      <c r="R45" s="113"/>
      <c r="U45" s="229"/>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17"/>
      <c r="L46" s="253"/>
      <c r="M46" s="225"/>
      <c r="N46" s="224"/>
      <c r="O46" s="104"/>
      <c r="P46" s="104"/>
      <c r="Q46" s="113"/>
      <c r="R46" s="113"/>
      <c r="S46" s="226" t="str">
        <f>'3'!S46</f>
        <v>Waist/Hip ratio</v>
      </c>
      <c r="T46" s="104"/>
      <c r="U46" s="232">
        <f>+U28/U29</f>
        <v>0.87272727272727268</v>
      </c>
      <c r="V46" s="104"/>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17"/>
      <c r="L47" s="217"/>
      <c r="M47" s="224"/>
      <c r="N47" s="224"/>
      <c r="O47" s="104"/>
      <c r="P47" s="104"/>
      <c r="Q47" s="113"/>
      <c r="R47" s="113"/>
      <c r="S47" s="104"/>
      <c r="T47" s="104"/>
      <c r="U47" s="104"/>
      <c r="V47" s="104"/>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17"/>
      <c r="L48" s="217"/>
      <c r="M48" s="224"/>
      <c r="N48" s="224"/>
      <c r="O48" s="104"/>
      <c r="P48" s="104"/>
      <c r="Q48" s="113"/>
      <c r="R48" s="113"/>
      <c r="S48" s="226" t="str">
        <f>'3'!S48</f>
        <v>Sum of 6 skinfolds</v>
      </c>
      <c r="T48" s="104"/>
      <c r="U48" s="235">
        <f>SUM(U17:U18,U21:U24)</f>
        <v>110</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17"/>
      <c r="L49" s="217"/>
      <c r="M49" s="224"/>
      <c r="N49" s="224"/>
      <c r="Q49" s="236"/>
      <c r="R49" s="236"/>
      <c r="S49" s="226" t="str">
        <f>'3'!S49</f>
        <v>Sum of 8 skinfolds</v>
      </c>
      <c r="T49" s="104"/>
      <c r="U49" s="235">
        <f>SUM(U17:U24)</f>
        <v>150</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17"/>
      <c r="L50" s="217"/>
      <c r="M50" s="224"/>
      <c r="N50" s="224"/>
      <c r="O50" s="109"/>
      <c r="P50" s="109"/>
      <c r="Q50" s="236"/>
      <c r="R50" s="236"/>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17"/>
      <c r="L51" s="217"/>
      <c r="M51" s="224"/>
      <c r="N51" s="224"/>
      <c r="Q51" s="113"/>
      <c r="R51" s="113"/>
      <c r="S51" s="226" t="str">
        <f>'3'!S51</f>
        <v>Fat percentage</v>
      </c>
      <c r="U51" s="35">
        <f>IF(U8=1,0.735*(U17+U24)+1,0.61*(U17+U24)+5.1)</f>
        <v>14.965</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17"/>
      <c r="L52" s="217"/>
      <c r="M52" s="224"/>
      <c r="N52" s="224"/>
      <c r="Q52" s="113"/>
      <c r="R52" s="113"/>
      <c r="U52" s="35">
        <f>IF(U8=1,0.153*(U17+U18+U21+U22)+5.783,0.213*(U17+U18+U21+U22)+7.9)</f>
        <v>18.175999999999998</v>
      </c>
      <c r="V52" s="227" t="str">
        <f>'3'!V52</f>
        <v>(Faulkner, from Yuhasz)</v>
      </c>
      <c r="X52" s="235"/>
      <c r="Y52" s="227"/>
      <c r="Z52" s="145"/>
      <c r="AA52" s="145"/>
    </row>
    <row r="53" spans="1:27">
      <c r="B53" s="222"/>
      <c r="C53" s="224"/>
      <c r="D53" s="224"/>
      <c r="E53" s="224"/>
      <c r="F53" s="224"/>
      <c r="G53" s="224"/>
      <c r="H53" s="224"/>
      <c r="I53" s="224"/>
      <c r="J53" s="224"/>
      <c r="K53" s="217"/>
      <c r="L53" s="217"/>
      <c r="M53" s="224"/>
      <c r="N53" s="224"/>
      <c r="Q53" s="113"/>
      <c r="R53" s="113"/>
      <c r="U53" s="35">
        <f>IF(U8=1,0.1051*(U48)+2.58,0.1548*(U48)+3.58)</f>
        <v>14.141</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17"/>
      <c r="L54" s="217"/>
      <c r="M54" s="224"/>
      <c r="N54" s="224"/>
      <c r="Q54" s="113"/>
      <c r="R54" s="113"/>
      <c r="S54" s="226" t="str">
        <f>'3'!S54</f>
        <v>Muscle percentage</v>
      </c>
      <c r="U54" s="35">
        <f>(U14/100*(0.00744*U26^2+0.00088*U31^2+0.00441*U33^2)+(2.4*(IF(U8=1,1,0)))-0.048*((U10-U11)/365.25)+IF(U7="1",-2,IF(U7="2",1.1,0))+7.8)*100/U13</f>
        <v>37.640212222150431</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17"/>
      <c r="L55" s="217"/>
      <c r="M55" s="224"/>
      <c r="N55" s="224"/>
      <c r="Q55" s="113"/>
      <c r="R55" s="113"/>
      <c r="U55" s="35">
        <f>(U14/100*((0.0064*(U26^2))+(0.0032*(U31^2))+(0.0015*(U33^2)))+(2.56*IF(U8=1,1,0))+(0.136*(U10-U11)/365.25))*100/U13</f>
        <v>55.649037646661817</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17"/>
      <c r="L56" s="217"/>
      <c r="M56" s="224"/>
      <c r="N56" s="224"/>
      <c r="Q56" s="113"/>
      <c r="R56" s="113"/>
      <c r="S56" s="226" t="str">
        <f>'3'!S56</f>
        <v>Bone percentage</v>
      </c>
      <c r="U56" s="35">
        <f>(3.02*(((U14/100)^2)*(U35/100)*(U36/100)*400)^0.712)*100/U13</f>
        <v>14.194760403568109</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17"/>
      <c r="L57" s="217"/>
      <c r="M57" s="224"/>
      <c r="N57" s="224"/>
      <c r="Q57" s="113"/>
      <c r="R57" s="113"/>
      <c r="Z57" s="145"/>
      <c r="AA57" s="145"/>
    </row>
    <row r="58" spans="1:27">
      <c r="B58" s="222"/>
      <c r="C58" s="224"/>
      <c r="D58" s="224"/>
      <c r="E58" s="224"/>
      <c r="F58" s="224"/>
      <c r="G58" s="224"/>
      <c r="H58" s="224"/>
      <c r="I58" s="224"/>
      <c r="J58" s="224"/>
      <c r="K58" s="217"/>
      <c r="L58" s="217"/>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17"/>
      <c r="L59" s="217"/>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17"/>
      <c r="L60" s="217"/>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0</v>
      </c>
      <c r="F61" s="223">
        <f t="shared" si="10"/>
        <v>1</v>
      </c>
      <c r="G61" s="223">
        <f t="shared" si="11"/>
        <v>0</v>
      </c>
      <c r="H61" s="222">
        <f t="shared" si="12"/>
        <v>1</v>
      </c>
      <c r="I61" s="224">
        <f t="shared" si="14"/>
        <v>0</v>
      </c>
      <c r="J61" s="224">
        <f t="shared" si="14"/>
        <v>1</v>
      </c>
      <c r="K61" s="217"/>
      <c r="L61" s="217"/>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0</v>
      </c>
      <c r="F62" s="223">
        <f t="shared" si="10"/>
        <v>1</v>
      </c>
      <c r="G62" s="223">
        <f t="shared" si="11"/>
        <v>0</v>
      </c>
      <c r="H62" s="222">
        <f t="shared" si="12"/>
        <v>1</v>
      </c>
      <c r="I62" s="224">
        <f t="shared" si="14"/>
        <v>0</v>
      </c>
      <c r="J62" s="224">
        <f t="shared" si="14"/>
        <v>1</v>
      </c>
      <c r="K62" s="217"/>
      <c r="L62" s="217"/>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17"/>
      <c r="L63" s="217"/>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2</v>
      </c>
      <c r="E64" s="223">
        <f t="shared" si="15"/>
        <v>2</v>
      </c>
      <c r="F64" s="223">
        <f t="shared" si="15"/>
        <v>21</v>
      </c>
      <c r="G64" s="223">
        <f t="shared" si="15"/>
        <v>0</v>
      </c>
      <c r="H64" s="223" t="e">
        <f t="shared" si="15"/>
        <v>#DIV/0!</v>
      </c>
      <c r="I64" s="224">
        <f t="shared" si="15"/>
        <v>2</v>
      </c>
      <c r="J64" s="224">
        <f t="shared" si="15"/>
        <v>21</v>
      </c>
      <c r="K64" s="217"/>
      <c r="L64" s="217"/>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97.5</v>
      </c>
      <c r="H67" s="245">
        <f t="shared" si="16"/>
        <v>0</v>
      </c>
      <c r="I67" s="245">
        <f t="shared" si="16"/>
        <v>0</v>
      </c>
      <c r="J67" s="224">
        <f>ABS(G67-H67)</f>
        <v>97.5</v>
      </c>
      <c r="K67" s="224">
        <f>ABS(I67-G67)</f>
        <v>97.5</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184</v>
      </c>
      <c r="H68" s="245">
        <f t="shared" si="16"/>
        <v>0</v>
      </c>
      <c r="I68" s="245">
        <f t="shared" si="16"/>
        <v>0</v>
      </c>
      <c r="J68" s="224">
        <f t="shared" ref="J68:J87" si="18">ABS(G68-H68)</f>
        <v>184</v>
      </c>
      <c r="K68" s="224">
        <f t="shared" ref="K68:K87" si="19">ABS(I68-G68)</f>
        <v>184</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12</v>
      </c>
      <c r="H71" s="245">
        <f t="shared" si="16"/>
        <v>0</v>
      </c>
      <c r="I71" s="245">
        <f t="shared" si="16"/>
        <v>0</v>
      </c>
      <c r="J71" s="224">
        <f t="shared" si="18"/>
        <v>12</v>
      </c>
      <c r="K71" s="224">
        <f t="shared" si="19"/>
        <v>12</v>
      </c>
      <c r="L71" s="224">
        <f t="shared" si="20"/>
        <v>0</v>
      </c>
      <c r="M71" s="246">
        <f t="shared" si="21"/>
        <v>0</v>
      </c>
      <c r="N71" s="246">
        <f t="shared" si="22"/>
        <v>0</v>
      </c>
    </row>
    <row r="72" spans="1:22" s="247" customFormat="1">
      <c r="B72" s="269" t="str">
        <f t="shared" si="17"/>
        <v>Subscapular sf</v>
      </c>
      <c r="C72" s="269"/>
      <c r="D72" s="269"/>
      <c r="E72" s="269"/>
      <c r="F72" s="269"/>
      <c r="G72" s="245">
        <f t="shared" si="16"/>
        <v>18</v>
      </c>
      <c r="H72" s="245">
        <f t="shared" si="16"/>
        <v>0</v>
      </c>
      <c r="I72" s="245">
        <f t="shared" si="16"/>
        <v>0</v>
      </c>
      <c r="J72" s="224">
        <f t="shared" si="18"/>
        <v>18</v>
      </c>
      <c r="K72" s="224">
        <f t="shared" si="19"/>
        <v>18</v>
      </c>
      <c r="L72" s="224">
        <f t="shared" si="20"/>
        <v>0</v>
      </c>
      <c r="M72" s="246">
        <f t="shared" si="21"/>
        <v>0</v>
      </c>
      <c r="N72" s="246">
        <f t="shared" si="22"/>
        <v>0</v>
      </c>
    </row>
    <row r="73" spans="1:22" s="247" customFormat="1">
      <c r="B73" s="269" t="str">
        <f t="shared" si="17"/>
        <v>Biceps sf</v>
      </c>
      <c r="C73" s="269"/>
      <c r="D73" s="269"/>
      <c r="E73" s="269"/>
      <c r="F73" s="269"/>
      <c r="G73" s="245">
        <f t="shared" si="16"/>
        <v>5</v>
      </c>
      <c r="H73" s="245">
        <f t="shared" si="16"/>
        <v>0</v>
      </c>
      <c r="I73" s="245">
        <f t="shared" si="16"/>
        <v>0</v>
      </c>
      <c r="J73" s="224">
        <f t="shared" si="18"/>
        <v>5</v>
      </c>
      <c r="K73" s="224">
        <f t="shared" si="19"/>
        <v>5</v>
      </c>
      <c r="L73" s="224">
        <f t="shared" si="20"/>
        <v>0</v>
      </c>
      <c r="M73" s="246">
        <f t="shared" si="21"/>
        <v>0</v>
      </c>
      <c r="N73" s="246">
        <f t="shared" si="22"/>
        <v>0</v>
      </c>
    </row>
    <row r="74" spans="1:22" s="247" customFormat="1">
      <c r="B74" s="269" t="str">
        <f t="shared" si="17"/>
        <v>Iliac crest sf</v>
      </c>
      <c r="C74" s="269"/>
      <c r="D74" s="269"/>
      <c r="E74" s="269"/>
      <c r="F74" s="269"/>
      <c r="G74" s="245">
        <f t="shared" si="16"/>
        <v>35</v>
      </c>
      <c r="H74" s="245">
        <f t="shared" si="16"/>
        <v>0</v>
      </c>
      <c r="I74" s="245">
        <f t="shared" si="16"/>
        <v>0</v>
      </c>
      <c r="J74" s="224">
        <f t="shared" si="18"/>
        <v>35</v>
      </c>
      <c r="K74" s="224">
        <f t="shared" si="19"/>
        <v>35</v>
      </c>
      <c r="L74" s="224">
        <f t="shared" si="20"/>
        <v>0</v>
      </c>
      <c r="M74" s="246">
        <f t="shared" si="21"/>
        <v>0</v>
      </c>
      <c r="N74" s="246">
        <f t="shared" si="22"/>
        <v>0</v>
      </c>
    </row>
    <row r="75" spans="1:22" s="247" customFormat="1">
      <c r="B75" s="269" t="str">
        <f t="shared" si="17"/>
        <v>Supraspinale sf</v>
      </c>
      <c r="C75" s="269"/>
      <c r="D75" s="269"/>
      <c r="E75" s="269"/>
      <c r="F75" s="269"/>
      <c r="G75" s="245">
        <f t="shared" si="16"/>
        <v>17</v>
      </c>
      <c r="H75" s="245">
        <f t="shared" si="16"/>
        <v>0</v>
      </c>
      <c r="I75" s="245">
        <f t="shared" si="16"/>
        <v>0</v>
      </c>
      <c r="J75" s="224">
        <f t="shared" si="18"/>
        <v>17</v>
      </c>
      <c r="K75" s="224">
        <f t="shared" si="19"/>
        <v>17</v>
      </c>
      <c r="L75" s="224">
        <f t="shared" si="20"/>
        <v>0</v>
      </c>
      <c r="M75" s="246">
        <f t="shared" si="21"/>
        <v>0</v>
      </c>
      <c r="N75" s="246">
        <f t="shared" si="22"/>
        <v>0</v>
      </c>
    </row>
    <row r="76" spans="1:22" s="247" customFormat="1">
      <c r="B76" s="269" t="str">
        <f t="shared" si="17"/>
        <v>Abdominal sf</v>
      </c>
      <c r="C76" s="269"/>
      <c r="D76" s="269"/>
      <c r="E76" s="269"/>
      <c r="F76" s="269"/>
      <c r="G76" s="245">
        <f t="shared" si="16"/>
        <v>34</v>
      </c>
      <c r="H76" s="245">
        <f t="shared" si="16"/>
        <v>0</v>
      </c>
      <c r="I76" s="245">
        <f t="shared" si="16"/>
        <v>0</v>
      </c>
      <c r="J76" s="224">
        <f t="shared" si="18"/>
        <v>34</v>
      </c>
      <c r="K76" s="224">
        <f t="shared" si="19"/>
        <v>34</v>
      </c>
      <c r="L76" s="224">
        <f t="shared" si="20"/>
        <v>0</v>
      </c>
      <c r="M76" s="246">
        <f t="shared" si="21"/>
        <v>0</v>
      </c>
      <c r="N76" s="246">
        <f t="shared" si="22"/>
        <v>0</v>
      </c>
    </row>
    <row r="77" spans="1:22" s="247" customFormat="1">
      <c r="A77" s="244"/>
      <c r="B77" s="269" t="str">
        <f t="shared" si="17"/>
        <v>Thigh sf</v>
      </c>
      <c r="C77" s="269"/>
      <c r="D77" s="269"/>
      <c r="E77" s="269"/>
      <c r="F77" s="269"/>
      <c r="G77" s="245">
        <f t="shared" si="16"/>
        <v>22</v>
      </c>
      <c r="H77" s="245">
        <f t="shared" si="16"/>
        <v>0</v>
      </c>
      <c r="I77" s="245">
        <f t="shared" si="16"/>
        <v>0</v>
      </c>
      <c r="J77" s="224">
        <f t="shared" si="18"/>
        <v>22</v>
      </c>
      <c r="K77" s="224">
        <f t="shared" si="19"/>
        <v>22</v>
      </c>
      <c r="L77" s="224">
        <f t="shared" si="20"/>
        <v>0</v>
      </c>
      <c r="M77" s="246">
        <f t="shared" si="21"/>
        <v>0</v>
      </c>
      <c r="N77" s="246">
        <f t="shared" si="22"/>
        <v>0</v>
      </c>
    </row>
    <row r="78" spans="1:22" s="247" customFormat="1">
      <c r="B78" s="269" t="str">
        <f t="shared" si="17"/>
        <v>Calf sf</v>
      </c>
      <c r="C78" s="269"/>
      <c r="D78" s="269"/>
      <c r="E78" s="269"/>
      <c r="F78" s="269"/>
      <c r="G78" s="245">
        <f t="shared" si="16"/>
        <v>7</v>
      </c>
      <c r="H78" s="245">
        <f t="shared" si="16"/>
        <v>0</v>
      </c>
      <c r="I78" s="245">
        <f t="shared" si="16"/>
        <v>0</v>
      </c>
      <c r="J78" s="224">
        <f t="shared" si="18"/>
        <v>7</v>
      </c>
      <c r="K78" s="224">
        <f t="shared" si="19"/>
        <v>7</v>
      </c>
      <c r="L78" s="224">
        <f t="shared" si="20"/>
        <v>0</v>
      </c>
      <c r="M78" s="246">
        <f t="shared" si="21"/>
        <v>0</v>
      </c>
      <c r="N78" s="246">
        <f t="shared" si="22"/>
        <v>0</v>
      </c>
    </row>
    <row r="79" spans="1:22" s="247" customFormat="1">
      <c r="B79" s="269" t="str">
        <f t="shared" si="17"/>
        <v>Arm girth relaxed</v>
      </c>
      <c r="C79" s="269"/>
      <c r="D79" s="269"/>
      <c r="E79" s="269"/>
      <c r="F79" s="269"/>
      <c r="G79" s="245">
        <f t="shared" si="16"/>
        <v>37.5</v>
      </c>
      <c r="H79" s="245">
        <f t="shared" si="16"/>
        <v>0</v>
      </c>
      <c r="I79" s="245">
        <f t="shared" si="16"/>
        <v>0</v>
      </c>
      <c r="J79" s="224">
        <f t="shared" si="18"/>
        <v>37.5</v>
      </c>
      <c r="K79" s="224">
        <f t="shared" si="19"/>
        <v>37.5</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40.200000000000003</v>
      </c>
      <c r="H80" s="245">
        <f t="shared" si="23"/>
        <v>0</v>
      </c>
      <c r="I80" s="245">
        <f t="shared" si="23"/>
        <v>0</v>
      </c>
      <c r="J80" s="224">
        <f t="shared" si="18"/>
        <v>40.200000000000003</v>
      </c>
      <c r="K80" s="224">
        <f t="shared" si="19"/>
        <v>40.200000000000003</v>
      </c>
      <c r="L80" s="224">
        <f t="shared" si="20"/>
        <v>0</v>
      </c>
      <c r="M80" s="246">
        <f t="shared" si="21"/>
        <v>0</v>
      </c>
      <c r="N80" s="246">
        <f t="shared" si="22"/>
        <v>0</v>
      </c>
    </row>
    <row r="81" spans="1:14" s="247" customFormat="1">
      <c r="B81" s="269" t="str">
        <f>B28</f>
        <v>Waist girth</v>
      </c>
      <c r="C81" s="269"/>
      <c r="D81" s="269"/>
      <c r="E81" s="269"/>
      <c r="F81" s="269"/>
      <c r="G81" s="245">
        <f t="shared" si="23"/>
        <v>96</v>
      </c>
      <c r="H81" s="245">
        <f t="shared" si="23"/>
        <v>0</v>
      </c>
      <c r="I81" s="245">
        <f t="shared" si="23"/>
        <v>0</v>
      </c>
      <c r="J81" s="224">
        <f t="shared" si="18"/>
        <v>96</v>
      </c>
      <c r="K81" s="224">
        <f t="shared" si="19"/>
        <v>96</v>
      </c>
      <c r="L81" s="224">
        <f t="shared" si="20"/>
        <v>0</v>
      </c>
      <c r="M81" s="246">
        <f t="shared" si="21"/>
        <v>0</v>
      </c>
      <c r="N81" s="246">
        <f t="shared" si="22"/>
        <v>0</v>
      </c>
    </row>
    <row r="82" spans="1:14" s="247" customFormat="1">
      <c r="B82" s="269" t="str">
        <f>B29</f>
        <v>Hips girth</v>
      </c>
      <c r="C82" s="269"/>
      <c r="D82" s="269"/>
      <c r="E82" s="269"/>
      <c r="F82" s="269"/>
      <c r="G82" s="245">
        <f t="shared" si="23"/>
        <v>110</v>
      </c>
      <c r="H82" s="245">
        <f t="shared" si="23"/>
        <v>0</v>
      </c>
      <c r="I82" s="245">
        <f t="shared" si="23"/>
        <v>0</v>
      </c>
      <c r="J82" s="224">
        <f t="shared" si="18"/>
        <v>110</v>
      </c>
      <c r="K82" s="224">
        <f t="shared" si="19"/>
        <v>110</v>
      </c>
      <c r="L82" s="224">
        <f t="shared" si="20"/>
        <v>0</v>
      </c>
      <c r="M82" s="246">
        <f t="shared" si="21"/>
        <v>0</v>
      </c>
      <c r="N82" s="246">
        <f t="shared" si="22"/>
        <v>0</v>
      </c>
    </row>
    <row r="83" spans="1:14">
      <c r="A83" s="247"/>
      <c r="B83" s="269" t="str">
        <f>B30</f>
        <v>Thigh middle girth</v>
      </c>
      <c r="C83" s="269"/>
      <c r="D83" s="269"/>
      <c r="E83" s="269"/>
      <c r="F83" s="269"/>
      <c r="G83" s="245">
        <f t="shared" si="23"/>
        <v>60.5</v>
      </c>
      <c r="H83" s="245">
        <f t="shared" si="23"/>
        <v>0</v>
      </c>
      <c r="I83" s="245">
        <f t="shared" si="23"/>
        <v>0</v>
      </c>
      <c r="J83" s="224">
        <f t="shared" si="18"/>
        <v>60.5</v>
      </c>
      <c r="K83" s="224">
        <f t="shared" si="19"/>
        <v>60.5</v>
      </c>
      <c r="L83" s="224">
        <f t="shared" si="20"/>
        <v>0</v>
      </c>
      <c r="M83" s="246">
        <f t="shared" si="21"/>
        <v>0</v>
      </c>
      <c r="N83" s="246">
        <f t="shared" si="22"/>
        <v>0</v>
      </c>
    </row>
    <row r="84" spans="1:14">
      <c r="B84" s="269" t="str">
        <f>B32</f>
        <v>Calf girth</v>
      </c>
      <c r="C84" s="269"/>
      <c r="D84" s="269"/>
      <c r="E84" s="269"/>
      <c r="F84" s="269"/>
      <c r="G84" s="245">
        <f>+G32</f>
        <v>41.2</v>
      </c>
      <c r="H84" s="245">
        <f>+H32</f>
        <v>0</v>
      </c>
      <c r="I84" s="245">
        <f>+I32</f>
        <v>0</v>
      </c>
      <c r="J84" s="224">
        <f t="shared" si="18"/>
        <v>41.2</v>
      </c>
      <c r="K84" s="224">
        <f t="shared" si="19"/>
        <v>41.2</v>
      </c>
      <c r="L84" s="224">
        <f t="shared" si="20"/>
        <v>0</v>
      </c>
      <c r="M84" s="246">
        <f t="shared" si="21"/>
        <v>0</v>
      </c>
      <c r="N84" s="246">
        <f t="shared" si="22"/>
        <v>0</v>
      </c>
    </row>
    <row r="85" spans="1:14">
      <c r="B85" s="269" t="str">
        <f>B34</f>
        <v>Humerus breadth</v>
      </c>
      <c r="C85" s="269"/>
      <c r="D85" s="269"/>
      <c r="E85" s="269"/>
      <c r="F85" s="269"/>
      <c r="G85" s="245">
        <f t="shared" ref="G85:I87" si="24">+G34</f>
        <v>7.2</v>
      </c>
      <c r="H85" s="245">
        <f t="shared" si="24"/>
        <v>0</v>
      </c>
      <c r="I85" s="245">
        <f t="shared" si="24"/>
        <v>0</v>
      </c>
      <c r="J85" s="224">
        <f t="shared" si="18"/>
        <v>7.2</v>
      </c>
      <c r="K85" s="224">
        <f t="shared" si="19"/>
        <v>7.2</v>
      </c>
      <c r="L85" s="224">
        <f t="shared" si="20"/>
        <v>0</v>
      </c>
      <c r="M85" s="246">
        <f t="shared" si="21"/>
        <v>0</v>
      </c>
      <c r="N85" s="246">
        <f t="shared" si="22"/>
        <v>0</v>
      </c>
    </row>
    <row r="86" spans="1:14">
      <c r="B86" s="269" t="str">
        <f>B35</f>
        <v>Bi-styloid breadth</v>
      </c>
      <c r="C86" s="269"/>
      <c r="D86" s="269"/>
      <c r="E86" s="269"/>
      <c r="F86" s="269"/>
      <c r="G86" s="245">
        <f t="shared" si="24"/>
        <v>5.8</v>
      </c>
      <c r="H86" s="245">
        <f t="shared" si="24"/>
        <v>0</v>
      </c>
      <c r="I86" s="245">
        <f t="shared" si="24"/>
        <v>0</v>
      </c>
      <c r="J86" s="224">
        <f t="shared" si="18"/>
        <v>5.8</v>
      </c>
      <c r="K86" s="224">
        <f t="shared" si="19"/>
        <v>5.8</v>
      </c>
      <c r="L86" s="224">
        <f t="shared" si="20"/>
        <v>0</v>
      </c>
      <c r="M86" s="246">
        <f t="shared" si="21"/>
        <v>0</v>
      </c>
      <c r="N86" s="246">
        <f t="shared" si="22"/>
        <v>0</v>
      </c>
    </row>
    <row r="87" spans="1:14">
      <c r="B87" s="269" t="str">
        <f>B36</f>
        <v>Femur breadth</v>
      </c>
      <c r="C87" s="269"/>
      <c r="D87" s="269"/>
      <c r="E87" s="269"/>
      <c r="F87" s="269"/>
      <c r="G87" s="245">
        <f t="shared" si="24"/>
        <v>10.8</v>
      </c>
      <c r="H87" s="245">
        <f t="shared" si="24"/>
        <v>0</v>
      </c>
      <c r="I87" s="245">
        <f t="shared" si="24"/>
        <v>0</v>
      </c>
      <c r="J87" s="224">
        <f t="shared" si="18"/>
        <v>10.8</v>
      </c>
      <c r="K87" s="224">
        <f t="shared" si="19"/>
        <v>10.8</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S0aAMzYJfVtpmckPlhllJnwhBTmWER6Epfy9AibSZa+KTPiv7sWtRQxvVeac+RRr37Coao/gvJhSOK0veL/wvA==" saltValue="41McuMFc4WC2olKzKbHAzA==" spinCount="100000" sheet="1" selectLockedCells="1"/>
  <mergeCells count="23">
    <mergeCell ref="B83:F83"/>
    <mergeCell ref="B84:F84"/>
    <mergeCell ref="B85:F85"/>
    <mergeCell ref="B86:F86"/>
    <mergeCell ref="B87:F87"/>
    <mergeCell ref="B82:F82"/>
    <mergeCell ref="B71:F71"/>
    <mergeCell ref="B72:F72"/>
    <mergeCell ref="B73:F73"/>
    <mergeCell ref="B74:F74"/>
    <mergeCell ref="B75:F75"/>
    <mergeCell ref="B76:F76"/>
    <mergeCell ref="B77:F77"/>
    <mergeCell ref="B78:F78"/>
    <mergeCell ref="B79:F79"/>
    <mergeCell ref="B80:F80"/>
    <mergeCell ref="B81:F81"/>
    <mergeCell ref="B70:F70"/>
    <mergeCell ref="K11:L12"/>
    <mergeCell ref="N11:N12"/>
    <mergeCell ref="B67:F67"/>
    <mergeCell ref="B68:F68"/>
    <mergeCell ref="B69:F69"/>
  </mergeCells>
  <pageMargins left="0.74803149606299213" right="0.74803149606299213" top="0.98425196850393704" bottom="0.98425196850393704" header="0.51181102362204722" footer="0.51181102362204722"/>
  <pageSetup paperSize="9" scale="67" orientation="portrait" r:id="rId1"/>
  <headerFooter alignWithMargins="0"/>
  <colBreaks count="1" manualBreakCount="1">
    <brk id="15" max="5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91"/>
  <sheetViews>
    <sheetView showGridLines="0" tabSelected="1" zoomScale="92" zoomScaleNormal="68" zoomScaleSheetLayoutView="75" workbookViewId="0">
      <selection activeCell="G11" sqref="G11"/>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t="s">
        <v>45</v>
      </c>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c r="H8" s="74"/>
      <c r="I8" s="77"/>
      <c r="J8" s="129"/>
      <c r="K8" s="129"/>
      <c r="L8" s="129"/>
      <c r="M8" s="129"/>
      <c r="N8" s="123"/>
      <c r="O8" s="104"/>
      <c r="P8" s="104"/>
      <c r="Q8" s="113"/>
      <c r="R8" s="113" t="str">
        <f t="shared" si="0"/>
        <v>Sex (male=1, female=2)</v>
      </c>
      <c r="S8" s="124"/>
      <c r="T8" s="124"/>
      <c r="U8" s="125">
        <f t="shared" si="1"/>
        <v>0</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46189</v>
      </c>
      <c r="H10" s="76"/>
      <c r="I10" s="76"/>
      <c r="J10" s="111"/>
      <c r="K10" s="111"/>
      <c r="L10" s="111"/>
      <c r="M10" s="111"/>
      <c r="N10" s="122"/>
      <c r="O10" s="104"/>
      <c r="P10" s="104"/>
      <c r="Q10" s="113"/>
      <c r="R10" s="113" t="str">
        <f t="shared" si="0"/>
        <v>Date of Measurement</v>
      </c>
      <c r="S10" s="124"/>
      <c r="T10" s="124"/>
      <c r="U10" s="131">
        <f t="shared" si="1"/>
        <v>46189</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254" t="str">
        <f>IF(Info!D34,"Measure","Medida")</f>
        <v>Measure</v>
      </c>
      <c r="C12" s="254"/>
      <c r="D12" s="254"/>
      <c r="E12" s="255"/>
      <c r="F12" s="256"/>
      <c r="G12" s="78">
        <v>1</v>
      </c>
      <c r="H12" s="78">
        <v>2</v>
      </c>
      <c r="I12" s="78">
        <v>3</v>
      </c>
      <c r="J12" s="134"/>
      <c r="K12" s="272"/>
      <c r="L12" s="273"/>
      <c r="M12" s="134"/>
      <c r="N12" s="275"/>
      <c r="Q12" s="113"/>
      <c r="R12" s="156"/>
      <c r="U12" s="142" t="str">
        <f>IF(Info!D34,"Value", "Valor")</f>
        <v>Value</v>
      </c>
      <c r="V12" s="143"/>
      <c r="W12" s="144" t="str">
        <f>IF(Info!D34,"Phantom Z-value","Valor Z del Phantom")</f>
        <v>Phantom Z-value</v>
      </c>
      <c r="X12" s="142"/>
      <c r="Y12" s="143"/>
      <c r="Z12" s="179"/>
      <c r="AA12" s="145"/>
    </row>
    <row r="13" spans="1:27" ht="18" customHeight="1">
      <c r="B13" s="161" t="str">
        <f>IF(Info!D34,"Mass","Masa corporal")</f>
        <v>Mass</v>
      </c>
      <c r="C13" s="116"/>
      <c r="D13" s="116"/>
      <c r="E13" s="122"/>
      <c r="F13" s="257"/>
      <c r="G13" s="85">
        <v>99.4</v>
      </c>
      <c r="H13" s="85"/>
      <c r="I13" s="85"/>
      <c r="J13" s="134"/>
      <c r="K13" s="162">
        <f>+(H13-G13)/(AVERAGE(G13:H13))</f>
        <v>-1</v>
      </c>
      <c r="L13" s="163" t="str">
        <f>IF(ABS(K13)&gt;1%,"Yes","No")</f>
        <v>Yes</v>
      </c>
      <c r="M13" s="134"/>
      <c r="N13" s="164">
        <f t="shared" ref="N13:N23" si="2">IF(I13=0,AVERAGE(G13,H13),MEDIAN(G13,H13,I13))</f>
        <v>99.4</v>
      </c>
      <c r="O13" s="154"/>
      <c r="P13" s="154"/>
      <c r="Q13" s="155"/>
      <c r="R13" s="155" t="str">
        <f t="shared" ref="R13:R36" si="3">+B13</f>
        <v>Mass</v>
      </c>
      <c r="S13" s="165"/>
      <c r="T13" s="165"/>
      <c r="U13" s="180">
        <f t="shared" ref="U13:U25" si="4">+N13</f>
        <v>99.4</v>
      </c>
      <c r="V13" s="143" t="s">
        <v>25</v>
      </c>
      <c r="W13" s="32" t="e">
        <f>1/8.6*(+U13*((170.18/U$14)^3)-64.58)</f>
        <v>#DIV/0!</v>
      </c>
      <c r="X13" s="181"/>
      <c r="Y13" s="143"/>
      <c r="Z13" s="145"/>
      <c r="AA13" s="145"/>
    </row>
    <row r="14" spans="1:27" ht="18" customHeigh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80" t="e">
        <f t="shared" si="4"/>
        <v>#DIV/0!</v>
      </c>
      <c r="V14" s="143" t="s">
        <v>26</v>
      </c>
      <c r="W14" s="32"/>
      <c r="X14" s="181"/>
      <c r="Y14" s="143"/>
      <c r="Z14" s="145"/>
      <c r="AA14" s="145"/>
    </row>
    <row r="15" spans="1:27" ht="18" customHeight="1">
      <c r="B15" s="161" t="str">
        <f>IF(Info!D34,"Sitting height","Talla sentado")</f>
        <v>Sitting height</v>
      </c>
      <c r="C15" s="116"/>
      <c r="D15" s="116"/>
      <c r="E15" s="122"/>
      <c r="F15" s="110"/>
      <c r="G15" s="85"/>
      <c r="H15" s="85"/>
      <c r="I15" s="85"/>
      <c r="J15" s="134"/>
      <c r="K15" s="162" t="e">
        <f t="shared" si="5"/>
        <v>#DIV/0!</v>
      </c>
      <c r="L15" s="163" t="e">
        <f>IF(ABS(K15)&gt;1%,"Yes","No")</f>
        <v>#DIV/0!</v>
      </c>
      <c r="M15" s="134"/>
      <c r="N15" s="164" t="e">
        <f t="shared" si="2"/>
        <v>#DIV/0!</v>
      </c>
      <c r="O15" s="154"/>
      <c r="P15" s="154"/>
      <c r="Q15" s="155"/>
      <c r="R15" s="155" t="str">
        <f t="shared" si="3"/>
        <v>Sitting height</v>
      </c>
      <c r="S15" s="165"/>
      <c r="T15" s="165"/>
      <c r="U15" s="180" t="e">
        <f t="shared" si="4"/>
        <v>#DIV/0!</v>
      </c>
      <c r="V15" s="143" t="s">
        <v>26</v>
      </c>
      <c r="W15" s="32" t="e">
        <f>1/4.5*(+U15*((170.18/U$14)^1)-89.92)</f>
        <v>#DIV/0!</v>
      </c>
      <c r="X15" s="181"/>
      <c r="Y15" s="143"/>
      <c r="Z15" s="145"/>
      <c r="AA15" s="145"/>
    </row>
    <row r="16" spans="1:27" ht="18" customHeight="1" thickBot="1">
      <c r="B16" s="161" t="str">
        <f>IF(Info!D34,"Arm Span","Envergadura de brazos")</f>
        <v>Arm Span</v>
      </c>
      <c r="C16" s="116"/>
      <c r="D16" s="116"/>
      <c r="E16" s="122"/>
      <c r="F16" s="110"/>
      <c r="G16" s="85"/>
      <c r="H16" s="85"/>
      <c r="I16" s="85"/>
      <c r="J16" s="134"/>
      <c r="K16" s="162" t="e">
        <f t="shared" si="5"/>
        <v>#DIV/0!</v>
      </c>
      <c r="L16" s="163" t="e">
        <f>IF(ABS(K16)&gt;1%,"Yes","No")</f>
        <v>#DIV/0!</v>
      </c>
      <c r="M16" s="134"/>
      <c r="N16" s="164" t="e">
        <f t="shared" si="2"/>
        <v>#DIV/0!</v>
      </c>
      <c r="O16" s="154"/>
      <c r="P16" s="154"/>
      <c r="Q16" s="155"/>
      <c r="R16" s="155" t="str">
        <f t="shared" si="3"/>
        <v>Arm Span</v>
      </c>
      <c r="S16" s="165"/>
      <c r="T16" s="165"/>
      <c r="U16" s="180" t="e">
        <f t="shared" si="4"/>
        <v>#DIV/0!</v>
      </c>
      <c r="V16" s="143" t="s">
        <v>26</v>
      </c>
      <c r="W16" s="32" t="e">
        <f>1/7.41*(+U16*((170.18/U$14)^1)-172.35)</f>
        <v>#DIV/0!</v>
      </c>
      <c r="X16" s="181"/>
      <c r="Y16" s="143"/>
      <c r="Z16" s="145"/>
      <c r="AA16" s="145"/>
    </row>
    <row r="17" spans="1:27" ht="18" customHeight="1" thickTop="1">
      <c r="A17" s="109"/>
      <c r="B17" s="146" t="str">
        <f>IF(Info!D34,"Triceps sf","PL Tríceps")</f>
        <v>Triceps sf</v>
      </c>
      <c r="C17" s="147"/>
      <c r="D17" s="147"/>
      <c r="E17" s="148"/>
      <c r="F17" s="149"/>
      <c r="G17" s="84">
        <v>12</v>
      </c>
      <c r="H17" s="84"/>
      <c r="I17" s="84"/>
      <c r="J17" s="150"/>
      <c r="K17" s="151">
        <f t="shared" si="5"/>
        <v>-1</v>
      </c>
      <c r="L17" s="152" t="str">
        <f t="shared" ref="L17:L24" si="6">IF(ABS(K17)&gt;5%,"Yes","No")</f>
        <v>Yes</v>
      </c>
      <c r="M17" s="150"/>
      <c r="N17" s="153">
        <f t="shared" si="2"/>
        <v>12</v>
      </c>
      <c r="O17" s="154"/>
      <c r="P17" s="154"/>
      <c r="Q17" s="155"/>
      <c r="R17" s="156" t="str">
        <f t="shared" si="3"/>
        <v>Triceps sf</v>
      </c>
      <c r="S17" s="157"/>
      <c r="T17" s="157"/>
      <c r="U17" s="175">
        <f t="shared" si="4"/>
        <v>12</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v>18</v>
      </c>
      <c r="H18" s="85"/>
      <c r="I18" s="85"/>
      <c r="J18" s="134"/>
      <c r="K18" s="162">
        <f t="shared" si="5"/>
        <v>-1</v>
      </c>
      <c r="L18" s="163" t="str">
        <f t="shared" si="6"/>
        <v>Yes</v>
      </c>
      <c r="M18" s="134"/>
      <c r="N18" s="164">
        <f t="shared" si="2"/>
        <v>18</v>
      </c>
      <c r="O18" s="154"/>
      <c r="P18" s="154"/>
      <c r="Q18" s="155"/>
      <c r="R18" s="155" t="str">
        <f t="shared" si="3"/>
        <v>Subscapular sf</v>
      </c>
      <c r="S18" s="165"/>
      <c r="T18" s="165"/>
      <c r="U18" s="180">
        <f t="shared" si="4"/>
        <v>18</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v>5</v>
      </c>
      <c r="H19" s="85"/>
      <c r="I19" s="85"/>
      <c r="J19" s="134"/>
      <c r="K19" s="182">
        <f t="shared" si="5"/>
        <v>-1</v>
      </c>
      <c r="L19" s="163" t="str">
        <f t="shared" si="6"/>
        <v>Yes</v>
      </c>
      <c r="M19" s="134"/>
      <c r="N19" s="164">
        <f t="shared" si="2"/>
        <v>5</v>
      </c>
      <c r="O19" s="154"/>
      <c r="P19" s="154"/>
      <c r="Q19" s="155"/>
      <c r="R19" s="155" t="str">
        <f t="shared" si="3"/>
        <v>Biceps sf</v>
      </c>
      <c r="S19" s="165"/>
      <c r="T19" s="165"/>
      <c r="U19" s="180">
        <f t="shared" si="4"/>
        <v>5</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v>35</v>
      </c>
      <c r="H20" s="85"/>
      <c r="I20" s="85"/>
      <c r="J20" s="134"/>
      <c r="K20" s="182">
        <f t="shared" si="5"/>
        <v>-1</v>
      </c>
      <c r="L20" s="163" t="str">
        <f t="shared" si="6"/>
        <v>Yes</v>
      </c>
      <c r="M20" s="134"/>
      <c r="N20" s="164">
        <f t="shared" si="2"/>
        <v>35</v>
      </c>
      <c r="O20" s="154"/>
      <c r="P20" s="154"/>
      <c r="Q20" s="155"/>
      <c r="R20" s="155" t="str">
        <f t="shared" si="3"/>
        <v>Iliac crest sf</v>
      </c>
      <c r="S20" s="165"/>
      <c r="T20" s="165"/>
      <c r="U20" s="180">
        <f t="shared" si="4"/>
        <v>35</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v>16</v>
      </c>
      <c r="H21" s="85"/>
      <c r="I21" s="85"/>
      <c r="J21" s="134"/>
      <c r="K21" s="162">
        <f t="shared" si="5"/>
        <v>-1</v>
      </c>
      <c r="L21" s="163" t="str">
        <f t="shared" si="6"/>
        <v>Yes</v>
      </c>
      <c r="M21" s="134"/>
      <c r="N21" s="164">
        <f t="shared" si="2"/>
        <v>16</v>
      </c>
      <c r="O21" s="154"/>
      <c r="P21" s="154"/>
      <c r="Q21" s="155"/>
      <c r="R21" s="155" t="str">
        <f t="shared" si="3"/>
        <v>Supraspinale sf</v>
      </c>
      <c r="S21" s="165"/>
      <c r="T21" s="165"/>
      <c r="U21" s="180">
        <f t="shared" si="4"/>
        <v>16</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v>32</v>
      </c>
      <c r="H22" s="85"/>
      <c r="I22" s="85"/>
      <c r="J22" s="134"/>
      <c r="K22" s="162">
        <f t="shared" si="5"/>
        <v>-1</v>
      </c>
      <c r="L22" s="163" t="str">
        <f t="shared" si="6"/>
        <v>Yes</v>
      </c>
      <c r="M22" s="134"/>
      <c r="N22" s="164">
        <f t="shared" si="2"/>
        <v>32</v>
      </c>
      <c r="O22" s="154"/>
      <c r="P22" s="154"/>
      <c r="Q22" s="155"/>
      <c r="R22" s="155" t="str">
        <f t="shared" si="3"/>
        <v>Abdominal sf</v>
      </c>
      <c r="S22" s="165"/>
      <c r="T22" s="165"/>
      <c r="U22" s="180">
        <f t="shared" si="4"/>
        <v>32</v>
      </c>
      <c r="V22" s="143" t="s">
        <v>27</v>
      </c>
      <c r="W22" s="32" t="e">
        <f>1/7.78*(+U22*((170.18/U$14)^1)-25.4)</f>
        <v>#DIV/0!</v>
      </c>
      <c r="X22" s="181"/>
      <c r="Y22" s="143"/>
      <c r="Z22" s="145"/>
      <c r="AA22" s="145"/>
    </row>
    <row r="23" spans="1:27" ht="18" customHeight="1">
      <c r="B23" s="161" t="str">
        <f>IF(Info!D34,"Thigh sf","PL Muslo")</f>
        <v>Thigh sf</v>
      </c>
      <c r="C23" s="116"/>
      <c r="D23" s="116"/>
      <c r="E23" s="122"/>
      <c r="F23" s="110"/>
      <c r="G23" s="85">
        <v>22</v>
      </c>
      <c r="H23" s="85"/>
      <c r="I23" s="85"/>
      <c r="J23" s="134"/>
      <c r="K23" s="182">
        <f t="shared" si="5"/>
        <v>-1</v>
      </c>
      <c r="L23" s="163" t="str">
        <f t="shared" si="6"/>
        <v>Yes</v>
      </c>
      <c r="M23" s="134"/>
      <c r="N23" s="164">
        <f t="shared" si="2"/>
        <v>22</v>
      </c>
      <c r="O23" s="154"/>
      <c r="P23" s="154"/>
      <c r="Q23" s="155"/>
      <c r="R23" s="155" t="str">
        <f t="shared" si="3"/>
        <v>Thigh sf</v>
      </c>
      <c r="S23" s="165"/>
      <c r="T23" s="165"/>
      <c r="U23" s="180">
        <f t="shared" si="4"/>
        <v>22</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v>7</v>
      </c>
      <c r="H24" s="86"/>
      <c r="I24" s="86"/>
      <c r="J24" s="187"/>
      <c r="K24" s="182">
        <f>+(H24-G24)/(AVERAGE(G24:H24))</f>
        <v>-1</v>
      </c>
      <c r="L24" s="188" t="str">
        <f t="shared" si="6"/>
        <v>Yes</v>
      </c>
      <c r="M24" s="187"/>
      <c r="N24" s="189">
        <f>IF(I24=0,AVERAGE(G24,H24),MEDIAN(G24,H24,I24))</f>
        <v>7</v>
      </c>
      <c r="O24" s="154"/>
      <c r="P24" s="154"/>
      <c r="Q24" s="155"/>
      <c r="R24" s="168" t="str">
        <f t="shared" si="3"/>
        <v>Calf sf</v>
      </c>
      <c r="S24" s="169"/>
      <c r="T24" s="169"/>
      <c r="U24" s="170">
        <f t="shared" si="4"/>
        <v>7</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v>37.4</v>
      </c>
      <c r="H25" s="85"/>
      <c r="I25" s="85"/>
      <c r="J25" s="134"/>
      <c r="K25" s="151">
        <f>+(H25-G25)/(AVERAGE(G25:H25))</f>
        <v>-1</v>
      </c>
      <c r="L25" s="163" t="str">
        <f>IF(ABS(K25)&gt;1%,"Yes","No")</f>
        <v>Yes</v>
      </c>
      <c r="M25" s="134"/>
      <c r="N25" s="164">
        <f>IF(I25=0,AVERAGE(G25,H25),MEDIAN(G25,H25,I25))</f>
        <v>37.4</v>
      </c>
      <c r="O25" s="154"/>
      <c r="P25" s="154"/>
      <c r="Q25" s="155"/>
      <c r="R25" s="155" t="str">
        <f t="shared" si="3"/>
        <v>Arm girth relaxed</v>
      </c>
      <c r="S25" s="165"/>
      <c r="T25" s="165"/>
      <c r="U25" s="180">
        <f t="shared" si="4"/>
        <v>37.4</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33.630088815692247</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v>40</v>
      </c>
      <c r="H27" s="85"/>
      <c r="I27" s="85"/>
      <c r="J27" s="134"/>
      <c r="K27" s="182">
        <f t="shared" si="5"/>
        <v>-1</v>
      </c>
      <c r="L27" s="163" t="str">
        <f>IF(ABS(K27)&gt;1%,"Yes","No")</f>
        <v>Yes</v>
      </c>
      <c r="M27" s="134"/>
      <c r="N27" s="164">
        <f>IF(I27=0,AVERAGE(G27,H27),MEDIAN(G27,H27,I27))</f>
        <v>40</v>
      </c>
      <c r="O27" s="154"/>
      <c r="P27" s="154"/>
      <c r="Q27" s="155"/>
      <c r="R27" s="155" t="str">
        <f t="shared" si="3"/>
        <v>Arm girth flexed and tensed</v>
      </c>
      <c r="S27" s="165"/>
      <c r="T27" s="165"/>
      <c r="U27" s="180">
        <f>+N27</f>
        <v>40</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v>95</v>
      </c>
      <c r="H28" s="85"/>
      <c r="I28" s="85"/>
      <c r="J28" s="134"/>
      <c r="K28" s="182">
        <f t="shared" si="5"/>
        <v>-1</v>
      </c>
      <c r="L28" s="163" t="str">
        <f>IF(ABS(K28)&gt;1%,"Yes","No")</f>
        <v>Yes</v>
      </c>
      <c r="M28" s="134"/>
      <c r="N28" s="164">
        <f>IF(I28=0,AVERAGE(G28,H28),MEDIAN(G28,H28,I28))</f>
        <v>95</v>
      </c>
      <c r="O28" s="154"/>
      <c r="P28" s="154"/>
      <c r="Q28" s="155"/>
      <c r="R28" s="155" t="str">
        <f t="shared" si="3"/>
        <v>Waist girth</v>
      </c>
      <c r="S28" s="165"/>
      <c r="T28" s="165"/>
      <c r="U28" s="180">
        <f>+N28</f>
        <v>95</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v>109</v>
      </c>
      <c r="H29" s="85"/>
      <c r="I29" s="85"/>
      <c r="J29" s="134"/>
      <c r="K29" s="182">
        <f t="shared" si="5"/>
        <v>-1</v>
      </c>
      <c r="L29" s="163" t="str">
        <f>IF(ABS(K29)&gt;1%,"Yes","No")</f>
        <v>Yes</v>
      </c>
      <c r="M29" s="134"/>
      <c r="N29" s="164">
        <f>IF(I29=0,AVERAGE(G29,H29),MEDIAN(G29,H29,I29))</f>
        <v>109</v>
      </c>
      <c r="O29" s="154"/>
      <c r="P29" s="154"/>
      <c r="Q29" s="155"/>
      <c r="R29" s="155" t="str">
        <f t="shared" si="3"/>
        <v>Hips girth</v>
      </c>
      <c r="S29" s="165"/>
      <c r="T29" s="165"/>
      <c r="U29" s="180">
        <f>+N29</f>
        <v>109</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v>61</v>
      </c>
      <c r="H30" s="85"/>
      <c r="I30" s="85"/>
      <c r="J30" s="134"/>
      <c r="K30" s="182">
        <f>+(H30-G30)/(AVERAGE(G30:H30))</f>
        <v>-1</v>
      </c>
      <c r="L30" s="163" t="str">
        <f>IF(ABS(K30)&gt;1%,"Yes","No")</f>
        <v>Yes</v>
      </c>
      <c r="M30" s="134"/>
      <c r="N30" s="164">
        <f>IF(I30=0,AVERAGE(G30,H30),MEDIAN(G30,H30,I30))</f>
        <v>61</v>
      </c>
      <c r="O30" s="154"/>
      <c r="P30" s="154"/>
      <c r="Q30" s="155"/>
      <c r="R30" s="155" t="str">
        <f t="shared" si="3"/>
        <v>Thigh middle girth</v>
      </c>
      <c r="S30" s="165"/>
      <c r="T30" s="165"/>
      <c r="U30" s="180">
        <f>+N30</f>
        <v>61</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54.088496162102459</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v>41</v>
      </c>
      <c r="H32" s="85"/>
      <c r="I32" s="85"/>
      <c r="J32" s="134"/>
      <c r="K32" s="182">
        <f t="shared" si="5"/>
        <v>-1</v>
      </c>
      <c r="L32" s="163" t="str">
        <f>IF(ABS(K32)&gt;1%,"Yes","No")</f>
        <v>Yes</v>
      </c>
      <c r="M32" s="134"/>
      <c r="N32" s="164">
        <f>IF(I32=0,AVERAGE(G32,H32),MEDIAN(G32,H32,I32))</f>
        <v>41</v>
      </c>
      <c r="O32" s="154"/>
      <c r="P32" s="154"/>
      <c r="Q32" s="155"/>
      <c r="R32" s="155" t="str">
        <f t="shared" si="3"/>
        <v>Calf girth</v>
      </c>
      <c r="S32" s="165"/>
      <c r="T32" s="165"/>
      <c r="U32" s="201">
        <f>+N32</f>
        <v>41</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38.800885142487147</v>
      </c>
      <c r="V33" s="173" t="s">
        <v>26</v>
      </c>
      <c r="W33" s="33" t="e">
        <f>1/1.97*(+U33*((170.18/U$14)^1)-30.22)</f>
        <v>#DIV/0!</v>
      </c>
      <c r="X33" s="172"/>
      <c r="Y33" s="173"/>
      <c r="Z33" s="174"/>
      <c r="AA33" s="145"/>
    </row>
    <row r="34" spans="1:27" ht="18" customHeight="1">
      <c r="B34" s="161" t="str">
        <f>IF(Info!D34,"Humerus breadth","D Húmero")</f>
        <v>Humerus breadth</v>
      </c>
      <c r="C34" s="116"/>
      <c r="D34" s="116"/>
      <c r="E34" s="122"/>
      <c r="F34" s="110"/>
      <c r="G34" s="87"/>
      <c r="H34" s="87"/>
      <c r="I34" s="87"/>
      <c r="J34" s="134"/>
      <c r="K34" s="250"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82"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24"/>
      <c r="L40" s="225"/>
      <c r="M40" s="225"/>
      <c r="N40" s="224"/>
      <c r="Q40" s="113"/>
      <c r="R40" s="113"/>
      <c r="S40" s="226" t="str">
        <f>IF(Info!D34,"Somatotype","Somatotipo")</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1</v>
      </c>
      <c r="F41" s="223">
        <f t="shared" ref="F41:F62" si="10">IF(H14=I14,1,0)</f>
        <v>1</v>
      </c>
      <c r="G41" s="223">
        <f t="shared" ref="G41:G62" si="11">IF(I14="",0,1)</f>
        <v>0</v>
      </c>
      <c r="H41" s="222" t="e">
        <f t="shared" ref="H41:H62" si="12">IF(L14="Yes",1,0)</f>
        <v>#DIV/0!</v>
      </c>
      <c r="I41" s="224">
        <f t="shared" ref="I41:I62" si="13">COUNTIF(G14,"")</f>
        <v>1</v>
      </c>
      <c r="J41" s="224">
        <f t="shared" ref="J41:J62" si="14">COUNTIF(H14,"")</f>
        <v>1</v>
      </c>
      <c r="K41" s="224"/>
      <c r="L41" s="225"/>
      <c r="M41" s="225"/>
      <c r="N41" s="224"/>
      <c r="O41" s="104"/>
      <c r="P41" s="104"/>
      <c r="Q41" s="113"/>
      <c r="R41" s="113"/>
      <c r="S41" s="227" t="s">
        <v>29</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4"/>
        <v>1</v>
      </c>
      <c r="K42" s="224"/>
      <c r="L42" s="225"/>
      <c r="M42" s="225"/>
      <c r="N42" s="224"/>
      <c r="O42" s="104"/>
      <c r="P42" s="104"/>
      <c r="Q42" s="113"/>
      <c r="R42" s="113"/>
      <c r="S42" s="226"/>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4"/>
        <v>1</v>
      </c>
      <c r="K43" s="224"/>
      <c r="L43" s="225"/>
      <c r="M43" s="225"/>
      <c r="N43" s="224"/>
      <c r="O43" s="104"/>
      <c r="P43" s="104"/>
      <c r="Q43" s="113"/>
      <c r="R43" s="113"/>
      <c r="S43" s="226"/>
      <c r="V43" s="126"/>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4"/>
        <v>1</v>
      </c>
      <c r="K44" s="224"/>
      <c r="L44" s="225"/>
      <c r="M44" s="225"/>
      <c r="N44" s="224"/>
      <c r="Q44" s="113"/>
      <c r="R44" s="113"/>
      <c r="S44" s="226" t="str">
        <f>IF(Info!D34,"Body Mass Index (MBI)","Índice de Masa Corporal (IMC)"             )</f>
        <v>Body Mass Index (MBI)</v>
      </c>
      <c r="T44" s="229"/>
      <c r="U44" s="201" t="e">
        <f>+U13/(U14/100)^2</f>
        <v>#DIV/0!</v>
      </c>
      <c r="V44" s="230" t="s">
        <v>37</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4"/>
        <v>1</v>
      </c>
      <c r="K45" s="224"/>
      <c r="L45" s="225"/>
      <c r="M45" s="225"/>
      <c r="N45" s="224"/>
      <c r="Q45" s="113"/>
      <c r="R45" s="113"/>
      <c r="S45" s="226"/>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4"/>
        <v>1</v>
      </c>
      <c r="K46" s="224"/>
      <c r="L46" s="225"/>
      <c r="M46" s="225"/>
      <c r="N46" s="224"/>
      <c r="O46" s="104"/>
      <c r="P46" s="104"/>
      <c r="Q46" s="113"/>
      <c r="R46" s="113"/>
      <c r="S46" s="226" t="str">
        <f>IF(Info!D34,"Waist/Hip ratio", "Ratio Cintura / Cadera")</f>
        <v>Waist/Hip ratio</v>
      </c>
      <c r="T46" s="124"/>
      <c r="U46" s="232">
        <f>+U28/U29</f>
        <v>0.87155963302752293</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4"/>
        <v>1</v>
      </c>
      <c r="K47" s="224"/>
      <c r="L47" s="224"/>
      <c r="M47" s="224"/>
      <c r="N47" s="224"/>
      <c r="O47" s="104"/>
      <c r="P47" s="104"/>
      <c r="Q47" s="113"/>
      <c r="R47" s="113"/>
      <c r="S47" s="226"/>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4"/>
        <v>1</v>
      </c>
      <c r="K48" s="224"/>
      <c r="L48" s="224"/>
      <c r="M48" s="224"/>
      <c r="N48" s="224"/>
      <c r="O48" s="104"/>
      <c r="P48" s="104"/>
      <c r="Q48" s="113"/>
      <c r="R48" s="113"/>
      <c r="S48" s="226" t="str">
        <f>IF(Info!D34,"Sum of 6 skinfolds","Sumatorio de 6 pliegues"                          )</f>
        <v>Sum of 6 skinfolds</v>
      </c>
      <c r="T48" s="104"/>
      <c r="U48" s="235">
        <f>SUM(U17:U18,U21:U24)</f>
        <v>107</v>
      </c>
      <c r="V48" s="227" t="s">
        <v>27</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 t="shared" si="13"/>
        <v>0</v>
      </c>
      <c r="J49" s="224">
        <f t="shared" si="14"/>
        <v>1</v>
      </c>
      <c r="K49" s="224"/>
      <c r="L49" s="224"/>
      <c r="M49" s="224"/>
      <c r="N49" s="224"/>
      <c r="Q49" s="236"/>
      <c r="R49" s="236"/>
      <c r="S49" s="226" t="str">
        <f>IF(Info!D34,"Sum of 8 skinfolds","Sumatorio de 8 pliegues"              )</f>
        <v>Sum of 8 skinfolds</v>
      </c>
      <c r="T49" s="104"/>
      <c r="U49" s="235">
        <f>SUM(U17:U24)</f>
        <v>147</v>
      </c>
      <c r="V49" s="227" t="s">
        <v>27</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4"/>
        <v>1</v>
      </c>
      <c r="K50" s="224"/>
      <c r="L50" s="224"/>
      <c r="M50" s="224"/>
      <c r="N50" s="224"/>
      <c r="O50" s="109"/>
      <c r="P50" s="109"/>
      <c r="Q50" s="236"/>
      <c r="R50" s="236"/>
      <c r="S50" s="226"/>
      <c r="V50" s="124"/>
      <c r="W50" s="124"/>
      <c r="X50" s="237"/>
      <c r="Y50" s="124"/>
      <c r="Z50" s="145"/>
      <c r="AA50" s="145"/>
    </row>
    <row r="51" spans="1:27">
      <c r="B51" s="223" t="str">
        <f t="shared" si="7"/>
        <v>Calf sf</v>
      </c>
      <c r="C51" s="222"/>
      <c r="D51" s="223">
        <f>IF(G24=H24,1,0)</f>
        <v>0</v>
      </c>
      <c r="E51" s="223">
        <f>IF(G24=I24,1,0)</f>
        <v>0</v>
      </c>
      <c r="F51" s="223">
        <f t="shared" si="10"/>
        <v>1</v>
      </c>
      <c r="G51" s="223">
        <f t="shared" si="11"/>
        <v>0</v>
      </c>
      <c r="H51" s="222">
        <f t="shared" si="12"/>
        <v>1</v>
      </c>
      <c r="I51" s="224">
        <f>COUNTIF(G24,"")</f>
        <v>0</v>
      </c>
      <c r="J51" s="224">
        <f t="shared" si="14"/>
        <v>1</v>
      </c>
      <c r="K51" s="224"/>
      <c r="L51" s="224"/>
      <c r="M51" s="224"/>
      <c r="N51" s="224"/>
      <c r="Q51" s="113"/>
      <c r="R51" s="113"/>
      <c r="S51" s="226" t="str">
        <f>IF(Info!D34,"Fat percentage","Porcentaje graso")</f>
        <v>Fat percentage</v>
      </c>
      <c r="T51" s="238"/>
      <c r="U51" s="35">
        <f>IF(U8=1,0.735*(U17+U24)+1,0.61*(U17+U24)+5.1)</f>
        <v>16.689999999999998</v>
      </c>
      <c r="V51" s="227" t="s">
        <v>38</v>
      </c>
      <c r="X51" s="229"/>
      <c r="Y51" s="124"/>
      <c r="Z51" s="145"/>
      <c r="AA51" s="145"/>
    </row>
    <row r="52" spans="1:27">
      <c r="B52" s="223" t="str">
        <f t="shared" si="7"/>
        <v>Arm girth relaxed</v>
      </c>
      <c r="C52" s="222"/>
      <c r="D52" s="223">
        <f>IF(G25=H25,1,0)</f>
        <v>0</v>
      </c>
      <c r="E52" s="223">
        <f>IF(G25=I25,1,0)</f>
        <v>0</v>
      </c>
      <c r="F52" s="223">
        <f t="shared" si="10"/>
        <v>1</v>
      </c>
      <c r="G52" s="223">
        <f t="shared" si="11"/>
        <v>0</v>
      </c>
      <c r="H52" s="222">
        <f t="shared" si="12"/>
        <v>1</v>
      </c>
      <c r="I52" s="224">
        <f>COUNTIF(G25,"")</f>
        <v>0</v>
      </c>
      <c r="J52" s="224">
        <f t="shared" si="14"/>
        <v>1</v>
      </c>
      <c r="K52" s="224"/>
      <c r="L52" s="224"/>
      <c r="M52" s="224"/>
      <c r="N52" s="224"/>
      <c r="Q52" s="113"/>
      <c r="R52" s="113"/>
      <c r="S52" s="226"/>
      <c r="U52" s="35">
        <f>IF(U8=1,0.153*(U17+U18+U21+U22)+5.783,0.213*(U17+U18+U21+U22)+7.9)</f>
        <v>24.514000000000003</v>
      </c>
      <c r="V52" s="227" t="str">
        <f>IF(Info!D34,"(Faulkner, from Yuhasz)","(Faulkner, a partir de Yuhasz)")</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S53" s="226"/>
      <c r="U53" s="35">
        <f>IF(U8=1,0.1051*(U48)+2.58,0.1548*(U48)+3.58)</f>
        <v>20.143599999999999</v>
      </c>
      <c r="V53" s="227" t="str">
        <f>IF(Info!D34,"(Carter, from Yuhasz)","(Carter, a partir de Yuhasz)")</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4"/>
        <v>1</v>
      </c>
      <c r="K54" s="224"/>
      <c r="L54" s="224"/>
      <c r="M54" s="224"/>
      <c r="N54" s="224"/>
      <c r="Q54" s="113"/>
      <c r="R54" s="113"/>
      <c r="S54" s="226" t="str">
        <f>IF(Info!D34,"Muscle percentage","Porcentaje muscular")</f>
        <v>Muscle percentage</v>
      </c>
      <c r="U54" s="35" t="e">
        <f>(U14/100*(0.00744*U26^2+0.00088*U31^2+0.00441*U33^2)+(2.4*(IF(U8=1,1,0)))-0.048*((U10-U11)/365.25)+IF(U7="1",-2,IF(U7="2",1.1,0))+7.8)*100/U13</f>
        <v>#DIV/0!</v>
      </c>
      <c r="V54" s="239" t="s">
        <v>39</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4"/>
        <v>1</v>
      </c>
      <c r="K55" s="224"/>
      <c r="L55" s="224">
        <f>COUNTIF(L13:L36,"yes")</f>
        <v>15</v>
      </c>
      <c r="M55" s="224"/>
      <c r="N55" s="224"/>
      <c r="Q55" s="113"/>
      <c r="R55" s="113"/>
      <c r="S55" s="226"/>
      <c r="U55" s="35" t="e">
        <f>(U14/100*((0.0064*(U26^2))+(0.0032*(U31^2))+(0.0015*(U33^2)))+(2.56*IF(U8=1,1,0))+(0.136*(U10-U11)/365.25))*100/U13</f>
        <v>#DIV/0!</v>
      </c>
      <c r="V55" s="239" t="s">
        <v>40</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4"/>
        <v>1</v>
      </c>
      <c r="K56" s="224"/>
      <c r="L56" s="224"/>
      <c r="M56" s="224"/>
      <c r="N56" s="224"/>
      <c r="Q56" s="113"/>
      <c r="R56" s="113"/>
      <c r="S56" s="226" t="str">
        <f>IF(Info!D34,"Bone percentage","Porcentaje óseo")</f>
        <v>Bone percentage</v>
      </c>
      <c r="U56" s="35" t="e">
        <f>(3.02*(((U14/100)^2)*(U35/100)*(U36/100)*400)^0.712)*100/U13</f>
        <v>#DIV/0!</v>
      </c>
      <c r="V56" s="239" t="s">
        <v>41</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si="13"/>
        <v>0</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3"/>
        <v>0</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3"/>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3"/>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6</v>
      </c>
      <c r="E64" s="223">
        <f t="shared" si="15"/>
        <v>6</v>
      </c>
      <c r="F64" s="223">
        <f t="shared" si="15"/>
        <v>21</v>
      </c>
      <c r="G64" s="223">
        <f t="shared" si="15"/>
        <v>0</v>
      </c>
      <c r="H64" s="223" t="e">
        <f t="shared" si="15"/>
        <v>#DIV/0!</v>
      </c>
      <c r="I64" s="224">
        <f t="shared" si="15"/>
        <v>6</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99.4</v>
      </c>
      <c r="H67" s="245">
        <f t="shared" si="16"/>
        <v>0</v>
      </c>
      <c r="I67" s="245">
        <f t="shared" si="16"/>
        <v>0</v>
      </c>
      <c r="J67" s="224">
        <f>ABS(G67-H67)</f>
        <v>99.4</v>
      </c>
      <c r="K67" s="224">
        <f>ABS(I67-G67)</f>
        <v>99.4</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24">
        <f t="shared" ref="J68:J87" si="18">ABS(G68-H68)</f>
        <v>0</v>
      </c>
      <c r="K68" s="224">
        <f t="shared" ref="K68:K87" si="19">ABS(I68-G68)</f>
        <v>0</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12</v>
      </c>
      <c r="H71" s="245">
        <f t="shared" si="16"/>
        <v>0</v>
      </c>
      <c r="I71" s="245">
        <f t="shared" si="16"/>
        <v>0</v>
      </c>
      <c r="J71" s="224">
        <f t="shared" si="18"/>
        <v>12</v>
      </c>
      <c r="K71" s="224">
        <f t="shared" si="19"/>
        <v>12</v>
      </c>
      <c r="L71" s="224">
        <f t="shared" si="20"/>
        <v>0</v>
      </c>
      <c r="M71" s="246">
        <f t="shared" si="21"/>
        <v>0</v>
      </c>
      <c r="N71" s="246">
        <f t="shared" si="22"/>
        <v>0</v>
      </c>
    </row>
    <row r="72" spans="1:22" s="247" customFormat="1">
      <c r="B72" s="269" t="str">
        <f t="shared" si="17"/>
        <v>Subscapular sf</v>
      </c>
      <c r="C72" s="269"/>
      <c r="D72" s="269"/>
      <c r="E72" s="269"/>
      <c r="F72" s="269"/>
      <c r="G72" s="245">
        <f t="shared" si="16"/>
        <v>18</v>
      </c>
      <c r="H72" s="245">
        <f t="shared" si="16"/>
        <v>0</v>
      </c>
      <c r="I72" s="245">
        <f t="shared" si="16"/>
        <v>0</v>
      </c>
      <c r="J72" s="224">
        <f t="shared" si="18"/>
        <v>18</v>
      </c>
      <c r="K72" s="224">
        <f t="shared" si="19"/>
        <v>18</v>
      </c>
      <c r="L72" s="224">
        <f t="shared" si="20"/>
        <v>0</v>
      </c>
      <c r="M72" s="246">
        <f t="shared" si="21"/>
        <v>0</v>
      </c>
      <c r="N72" s="246">
        <f t="shared" si="22"/>
        <v>0</v>
      </c>
    </row>
    <row r="73" spans="1:22" s="247" customFormat="1">
      <c r="B73" s="269" t="str">
        <f t="shared" si="17"/>
        <v>Biceps sf</v>
      </c>
      <c r="C73" s="269"/>
      <c r="D73" s="269"/>
      <c r="E73" s="269"/>
      <c r="F73" s="269"/>
      <c r="G73" s="245">
        <f t="shared" si="16"/>
        <v>5</v>
      </c>
      <c r="H73" s="245">
        <f t="shared" si="16"/>
        <v>0</v>
      </c>
      <c r="I73" s="245">
        <f t="shared" si="16"/>
        <v>0</v>
      </c>
      <c r="J73" s="224">
        <f t="shared" si="18"/>
        <v>5</v>
      </c>
      <c r="K73" s="224">
        <f t="shared" si="19"/>
        <v>5</v>
      </c>
      <c r="L73" s="224">
        <f t="shared" si="20"/>
        <v>0</v>
      </c>
      <c r="M73" s="246">
        <f t="shared" si="21"/>
        <v>0</v>
      </c>
      <c r="N73" s="246">
        <f t="shared" si="22"/>
        <v>0</v>
      </c>
    </row>
    <row r="74" spans="1:22" s="247" customFormat="1">
      <c r="B74" s="269" t="str">
        <f t="shared" si="17"/>
        <v>Iliac crest sf</v>
      </c>
      <c r="C74" s="269"/>
      <c r="D74" s="269"/>
      <c r="E74" s="269"/>
      <c r="F74" s="269"/>
      <c r="G74" s="245">
        <f t="shared" si="16"/>
        <v>35</v>
      </c>
      <c r="H74" s="245">
        <f t="shared" si="16"/>
        <v>0</v>
      </c>
      <c r="I74" s="245">
        <f t="shared" si="16"/>
        <v>0</v>
      </c>
      <c r="J74" s="224">
        <f t="shared" si="18"/>
        <v>35</v>
      </c>
      <c r="K74" s="224">
        <f t="shared" si="19"/>
        <v>35</v>
      </c>
      <c r="L74" s="224">
        <f t="shared" si="20"/>
        <v>0</v>
      </c>
      <c r="M74" s="246">
        <f t="shared" si="21"/>
        <v>0</v>
      </c>
      <c r="N74" s="246">
        <f t="shared" si="22"/>
        <v>0</v>
      </c>
    </row>
    <row r="75" spans="1:22" s="247" customFormat="1">
      <c r="B75" s="269" t="str">
        <f t="shared" si="17"/>
        <v>Supraspinale sf</v>
      </c>
      <c r="C75" s="269"/>
      <c r="D75" s="269"/>
      <c r="E75" s="269"/>
      <c r="F75" s="269"/>
      <c r="G75" s="245">
        <f t="shared" si="16"/>
        <v>16</v>
      </c>
      <c r="H75" s="245">
        <f t="shared" si="16"/>
        <v>0</v>
      </c>
      <c r="I75" s="245">
        <f t="shared" si="16"/>
        <v>0</v>
      </c>
      <c r="J75" s="224">
        <f t="shared" si="18"/>
        <v>16</v>
      </c>
      <c r="K75" s="224">
        <f t="shared" si="19"/>
        <v>16</v>
      </c>
      <c r="L75" s="224">
        <f t="shared" si="20"/>
        <v>0</v>
      </c>
      <c r="M75" s="246">
        <f t="shared" si="21"/>
        <v>0</v>
      </c>
      <c r="N75" s="246">
        <f t="shared" si="22"/>
        <v>0</v>
      </c>
    </row>
    <row r="76" spans="1:22" s="247" customFormat="1">
      <c r="B76" s="269" t="str">
        <f t="shared" si="17"/>
        <v>Abdominal sf</v>
      </c>
      <c r="C76" s="269"/>
      <c r="D76" s="269"/>
      <c r="E76" s="269"/>
      <c r="F76" s="269"/>
      <c r="G76" s="245">
        <f t="shared" si="16"/>
        <v>32</v>
      </c>
      <c r="H76" s="245">
        <f t="shared" si="16"/>
        <v>0</v>
      </c>
      <c r="I76" s="245">
        <f t="shared" si="16"/>
        <v>0</v>
      </c>
      <c r="J76" s="224">
        <f t="shared" si="18"/>
        <v>32</v>
      </c>
      <c r="K76" s="224">
        <f t="shared" si="19"/>
        <v>32</v>
      </c>
      <c r="L76" s="224">
        <f t="shared" si="20"/>
        <v>0</v>
      </c>
      <c r="M76" s="246">
        <f t="shared" si="21"/>
        <v>0</v>
      </c>
      <c r="N76" s="246">
        <f t="shared" si="22"/>
        <v>0</v>
      </c>
    </row>
    <row r="77" spans="1:22" s="247" customFormat="1">
      <c r="A77" s="244"/>
      <c r="B77" s="269" t="str">
        <f t="shared" si="17"/>
        <v>Thigh sf</v>
      </c>
      <c r="C77" s="269"/>
      <c r="D77" s="269"/>
      <c r="E77" s="269"/>
      <c r="F77" s="269"/>
      <c r="G77" s="245">
        <f t="shared" si="16"/>
        <v>22</v>
      </c>
      <c r="H77" s="245">
        <f t="shared" si="16"/>
        <v>0</v>
      </c>
      <c r="I77" s="245">
        <f t="shared" si="16"/>
        <v>0</v>
      </c>
      <c r="J77" s="224">
        <f t="shared" si="18"/>
        <v>22</v>
      </c>
      <c r="K77" s="224">
        <f t="shared" si="19"/>
        <v>22</v>
      </c>
      <c r="L77" s="224">
        <f t="shared" si="20"/>
        <v>0</v>
      </c>
      <c r="M77" s="246">
        <f t="shared" si="21"/>
        <v>0</v>
      </c>
      <c r="N77" s="246">
        <f t="shared" si="22"/>
        <v>0</v>
      </c>
    </row>
    <row r="78" spans="1:22" s="247" customFormat="1">
      <c r="B78" s="269" t="str">
        <f t="shared" si="17"/>
        <v>Calf sf</v>
      </c>
      <c r="C78" s="269"/>
      <c r="D78" s="269"/>
      <c r="E78" s="269"/>
      <c r="F78" s="269"/>
      <c r="G78" s="245">
        <f>+G24</f>
        <v>7</v>
      </c>
      <c r="H78" s="245">
        <f t="shared" si="16"/>
        <v>0</v>
      </c>
      <c r="I78" s="245">
        <f t="shared" si="16"/>
        <v>0</v>
      </c>
      <c r="J78" s="224">
        <f t="shared" si="18"/>
        <v>7</v>
      </c>
      <c r="K78" s="224">
        <f t="shared" si="19"/>
        <v>7</v>
      </c>
      <c r="L78" s="224">
        <f t="shared" si="20"/>
        <v>0</v>
      </c>
      <c r="M78" s="246">
        <f t="shared" si="21"/>
        <v>0</v>
      </c>
      <c r="N78" s="246">
        <f t="shared" si="22"/>
        <v>0</v>
      </c>
    </row>
    <row r="79" spans="1:22" s="247" customFormat="1">
      <c r="B79" s="269" t="str">
        <f t="shared" si="17"/>
        <v>Arm girth relaxed</v>
      </c>
      <c r="C79" s="269"/>
      <c r="D79" s="269"/>
      <c r="E79" s="269"/>
      <c r="F79" s="269"/>
      <c r="G79" s="245">
        <f>+G25</f>
        <v>37.4</v>
      </c>
      <c r="H79" s="245">
        <f t="shared" si="16"/>
        <v>0</v>
      </c>
      <c r="I79" s="245">
        <f t="shared" si="16"/>
        <v>0</v>
      </c>
      <c r="J79" s="224">
        <f t="shared" si="18"/>
        <v>37.4</v>
      </c>
      <c r="K79" s="224">
        <f t="shared" si="19"/>
        <v>37.4</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40</v>
      </c>
      <c r="H80" s="245">
        <f t="shared" si="23"/>
        <v>0</v>
      </c>
      <c r="I80" s="245">
        <f t="shared" si="23"/>
        <v>0</v>
      </c>
      <c r="J80" s="224">
        <f t="shared" si="18"/>
        <v>40</v>
      </c>
      <c r="K80" s="224">
        <f t="shared" si="19"/>
        <v>40</v>
      </c>
      <c r="L80" s="224">
        <f t="shared" si="20"/>
        <v>0</v>
      </c>
      <c r="M80" s="246">
        <f t="shared" si="21"/>
        <v>0</v>
      </c>
      <c r="N80" s="246">
        <f t="shared" si="22"/>
        <v>0</v>
      </c>
    </row>
    <row r="81" spans="1:14" s="247" customFormat="1">
      <c r="B81" s="269" t="str">
        <f>B28</f>
        <v>Waist girth</v>
      </c>
      <c r="C81" s="269"/>
      <c r="D81" s="269"/>
      <c r="E81" s="269"/>
      <c r="F81" s="269"/>
      <c r="G81" s="245">
        <f t="shared" si="23"/>
        <v>95</v>
      </c>
      <c r="H81" s="245">
        <f t="shared" si="23"/>
        <v>0</v>
      </c>
      <c r="I81" s="245">
        <f t="shared" si="23"/>
        <v>0</v>
      </c>
      <c r="J81" s="224">
        <f t="shared" si="18"/>
        <v>95</v>
      </c>
      <c r="K81" s="224">
        <f t="shared" si="19"/>
        <v>95</v>
      </c>
      <c r="L81" s="224">
        <f t="shared" si="20"/>
        <v>0</v>
      </c>
      <c r="M81" s="246">
        <f t="shared" si="21"/>
        <v>0</v>
      </c>
      <c r="N81" s="246">
        <f t="shared" si="22"/>
        <v>0</v>
      </c>
    </row>
    <row r="82" spans="1:14" s="247" customFormat="1">
      <c r="B82" s="269" t="str">
        <f>B29</f>
        <v>Hips girth</v>
      </c>
      <c r="C82" s="269"/>
      <c r="D82" s="269"/>
      <c r="E82" s="269"/>
      <c r="F82" s="269"/>
      <c r="G82" s="245">
        <f t="shared" si="23"/>
        <v>109</v>
      </c>
      <c r="H82" s="245">
        <f t="shared" si="23"/>
        <v>0</v>
      </c>
      <c r="I82" s="245">
        <f t="shared" si="23"/>
        <v>0</v>
      </c>
      <c r="J82" s="224">
        <f t="shared" si="18"/>
        <v>109</v>
      </c>
      <c r="K82" s="224">
        <f t="shared" si="19"/>
        <v>109</v>
      </c>
      <c r="L82" s="224">
        <f t="shared" si="20"/>
        <v>0</v>
      </c>
      <c r="M82" s="246">
        <f t="shared" si="21"/>
        <v>0</v>
      </c>
      <c r="N82" s="246">
        <f t="shared" si="22"/>
        <v>0</v>
      </c>
    </row>
    <row r="83" spans="1:14">
      <c r="A83" s="247"/>
      <c r="B83" s="269" t="str">
        <f>B30</f>
        <v>Thigh middle girth</v>
      </c>
      <c r="C83" s="269"/>
      <c r="D83" s="269"/>
      <c r="E83" s="269"/>
      <c r="F83" s="269"/>
      <c r="G83" s="245">
        <f t="shared" si="23"/>
        <v>61</v>
      </c>
      <c r="H83" s="245">
        <f t="shared" si="23"/>
        <v>0</v>
      </c>
      <c r="I83" s="245">
        <f t="shared" si="23"/>
        <v>0</v>
      </c>
      <c r="J83" s="224">
        <f t="shared" si="18"/>
        <v>61</v>
      </c>
      <c r="K83" s="224">
        <f t="shared" si="19"/>
        <v>61</v>
      </c>
      <c r="L83" s="224">
        <f t="shared" si="20"/>
        <v>0</v>
      </c>
      <c r="M83" s="246">
        <f t="shared" si="21"/>
        <v>0</v>
      </c>
      <c r="N83" s="246">
        <f t="shared" si="22"/>
        <v>0</v>
      </c>
    </row>
    <row r="84" spans="1:14">
      <c r="B84" s="269" t="str">
        <f>B32</f>
        <v>Calf girth</v>
      </c>
      <c r="C84" s="269"/>
      <c r="D84" s="269"/>
      <c r="E84" s="269"/>
      <c r="F84" s="269"/>
      <c r="G84" s="245">
        <f>+G32</f>
        <v>41</v>
      </c>
      <c r="H84" s="245">
        <f>+H32</f>
        <v>0</v>
      </c>
      <c r="I84" s="245">
        <f>+I32</f>
        <v>0</v>
      </c>
      <c r="J84" s="224">
        <f t="shared" si="18"/>
        <v>41</v>
      </c>
      <c r="K84" s="224">
        <f t="shared" si="19"/>
        <v>41</v>
      </c>
      <c r="L84" s="224">
        <f t="shared" si="20"/>
        <v>0</v>
      </c>
      <c r="M84" s="246">
        <f t="shared" si="21"/>
        <v>0</v>
      </c>
      <c r="N84" s="246">
        <f t="shared" si="22"/>
        <v>0</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CqKhNfEcseM8e+qx5djE7iJFun3/VrE0CEGmlLJopkr4zj3XFx8cUIpPZSJ/9BIvcIDJ6BYMccalp0zq1HuKxA==" saltValue="vrGrzICfZ0tnGQAckJCMh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91"/>
  <sheetViews>
    <sheetView topLeftCell="A3" zoomScale="91" zoomScaleNormal="66" zoomScaleSheetLayoutView="75" workbookViewId="0">
      <selection activeCell="G13" sqref="G13:G36"/>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c r="H8" s="74"/>
      <c r="I8" s="77"/>
      <c r="J8" s="129"/>
      <c r="K8" s="129"/>
      <c r="L8" s="129"/>
      <c r="M8" s="129"/>
      <c r="N8" s="123"/>
      <c r="O8" s="104"/>
      <c r="P8" s="104"/>
      <c r="Q8" s="113"/>
      <c r="R8" s="113" t="str">
        <f t="shared" si="0"/>
        <v>Sex (male=1, female=2)</v>
      </c>
      <c r="S8" s="124"/>
      <c r="T8" s="124"/>
      <c r="U8" s="125">
        <f t="shared" si="1"/>
        <v>0</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c r="H10" s="76"/>
      <c r="I10" s="76"/>
      <c r="J10" s="111"/>
      <c r="K10" s="111"/>
      <c r="L10" s="111"/>
      <c r="M10" s="111"/>
      <c r="N10" s="122"/>
      <c r="O10" s="104"/>
      <c r="P10" s="104"/>
      <c r="Q10" s="113"/>
      <c r="R10" s="113" t="str">
        <f t="shared" si="0"/>
        <v>Date of Measurement</v>
      </c>
      <c r="S10" s="124"/>
      <c r="T10" s="124"/>
      <c r="U10" s="131">
        <f t="shared" si="1"/>
        <v>0</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66" t="e">
        <f t="shared" si="4"/>
        <v>#DIV/0!</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c r="H17" s="84"/>
      <c r="I17" s="84"/>
      <c r="J17" s="150"/>
      <c r="K17" s="151" t="e">
        <f t="shared" si="5"/>
        <v>#DIV/0!</v>
      </c>
      <c r="L17" s="152" t="e">
        <f t="shared" ref="L17:L24" si="6">IF(ABS(K17)&gt;5%,"Yes","No")</f>
        <v>#DIV/0!</v>
      </c>
      <c r="M17" s="150"/>
      <c r="N17" s="153" t="e">
        <f t="shared" si="2"/>
        <v>#DIV/0!</v>
      </c>
      <c r="O17" s="154"/>
      <c r="P17" s="154"/>
      <c r="Q17" s="155"/>
      <c r="R17" s="156" t="str">
        <f t="shared" si="3"/>
        <v>Triceps sf</v>
      </c>
      <c r="S17" s="157"/>
      <c r="T17" s="157"/>
      <c r="U17" s="175" t="e">
        <f t="shared" si="4"/>
        <v>#DIV/0!</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c r="H18" s="85"/>
      <c r="I18" s="85"/>
      <c r="J18" s="134"/>
      <c r="K18" s="162" t="e">
        <f t="shared" si="5"/>
        <v>#DIV/0!</v>
      </c>
      <c r="L18" s="163" t="e">
        <f t="shared" si="6"/>
        <v>#DIV/0!</v>
      </c>
      <c r="M18" s="134"/>
      <c r="N18" s="164" t="e">
        <f t="shared" si="2"/>
        <v>#DIV/0!</v>
      </c>
      <c r="O18" s="154"/>
      <c r="P18" s="154"/>
      <c r="Q18" s="155"/>
      <c r="R18" s="155" t="str">
        <f t="shared" si="3"/>
        <v>Subscapular sf</v>
      </c>
      <c r="S18" s="165"/>
      <c r="T18" s="165"/>
      <c r="U18" s="180" t="e">
        <f t="shared" si="4"/>
        <v>#DIV/0!</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c r="H19" s="85"/>
      <c r="I19" s="85"/>
      <c r="J19" s="134"/>
      <c r="K19" s="182" t="e">
        <f t="shared" si="5"/>
        <v>#DIV/0!</v>
      </c>
      <c r="L19" s="163" t="e">
        <f t="shared" si="6"/>
        <v>#DIV/0!</v>
      </c>
      <c r="M19" s="134"/>
      <c r="N19" s="164" t="e">
        <f t="shared" si="2"/>
        <v>#DIV/0!</v>
      </c>
      <c r="O19" s="154"/>
      <c r="P19" s="154"/>
      <c r="Q19" s="155"/>
      <c r="R19" s="155" t="str">
        <f t="shared" si="3"/>
        <v>Biceps sf</v>
      </c>
      <c r="S19" s="165"/>
      <c r="T19" s="165"/>
      <c r="U19" s="180" t="e">
        <f t="shared" si="4"/>
        <v>#DIV/0!</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c r="H20" s="85"/>
      <c r="I20" s="85"/>
      <c r="J20" s="134"/>
      <c r="K20" s="182" t="e">
        <f t="shared" si="5"/>
        <v>#DIV/0!</v>
      </c>
      <c r="L20" s="163" t="e">
        <f t="shared" si="6"/>
        <v>#DIV/0!</v>
      </c>
      <c r="M20" s="134"/>
      <c r="N20" s="164" t="e">
        <f t="shared" si="2"/>
        <v>#DIV/0!</v>
      </c>
      <c r="O20" s="154"/>
      <c r="P20" s="154"/>
      <c r="Q20" s="155"/>
      <c r="R20" s="155" t="str">
        <f t="shared" si="3"/>
        <v>Iliac crest sf</v>
      </c>
      <c r="S20" s="165"/>
      <c r="T20" s="165"/>
      <c r="U20" s="180" t="e">
        <f t="shared" si="4"/>
        <v>#DIV/0!</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c r="H21" s="85"/>
      <c r="I21" s="85"/>
      <c r="J21" s="134"/>
      <c r="K21" s="162" t="e">
        <f t="shared" si="5"/>
        <v>#DIV/0!</v>
      </c>
      <c r="L21" s="163" t="e">
        <f t="shared" si="6"/>
        <v>#DIV/0!</v>
      </c>
      <c r="M21" s="134"/>
      <c r="N21" s="164" t="e">
        <f t="shared" si="2"/>
        <v>#DIV/0!</v>
      </c>
      <c r="O21" s="154"/>
      <c r="P21" s="154"/>
      <c r="Q21" s="155"/>
      <c r="R21" s="155" t="str">
        <f t="shared" si="3"/>
        <v>Supraspinale sf</v>
      </c>
      <c r="S21" s="165"/>
      <c r="T21" s="165"/>
      <c r="U21" s="180" t="e">
        <f t="shared" si="4"/>
        <v>#DIV/0!</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c r="H22" s="85"/>
      <c r="I22" s="85"/>
      <c r="J22" s="134"/>
      <c r="K22" s="162" t="e">
        <f t="shared" si="5"/>
        <v>#DIV/0!</v>
      </c>
      <c r="L22" s="163" t="e">
        <f t="shared" si="6"/>
        <v>#DIV/0!</v>
      </c>
      <c r="M22" s="134"/>
      <c r="N22" s="164" t="e">
        <f t="shared" si="2"/>
        <v>#DIV/0!</v>
      </c>
      <c r="O22" s="154"/>
      <c r="P22" s="154"/>
      <c r="Q22" s="155"/>
      <c r="R22" s="155" t="str">
        <f t="shared" si="3"/>
        <v>Abdominal sf</v>
      </c>
      <c r="S22" s="165"/>
      <c r="T22" s="165"/>
      <c r="U22" s="180" t="e">
        <f t="shared" si="4"/>
        <v>#DIV/0!</v>
      </c>
      <c r="V22" s="143" t="s">
        <v>27</v>
      </c>
      <c r="W22" s="32" t="e">
        <f>1/7.78*(+U22*((170.18/U$14)^1)-25.4)</f>
        <v>#DIV/0!</v>
      </c>
      <c r="X22" s="181"/>
      <c r="Y22" s="143"/>
      <c r="Z22" s="145"/>
      <c r="AA22" s="145"/>
    </row>
    <row r="23" spans="1:27" ht="18" customHeight="1">
      <c r="B23" s="161" t="str">
        <f>IF(Info!D34,"Thigh sf","PL Muslo")</f>
        <v>Thigh sf</v>
      </c>
      <c r="C23" s="116"/>
      <c r="D23" s="116"/>
      <c r="E23" s="122"/>
      <c r="F23" s="110"/>
      <c r="G23" s="85"/>
      <c r="H23" s="85"/>
      <c r="I23" s="85"/>
      <c r="J23" s="134"/>
      <c r="K23" s="182" t="e">
        <f t="shared" si="5"/>
        <v>#DIV/0!</v>
      </c>
      <c r="L23" s="163" t="e">
        <f t="shared" si="6"/>
        <v>#DIV/0!</v>
      </c>
      <c r="M23" s="134"/>
      <c r="N23" s="164" t="e">
        <f t="shared" si="2"/>
        <v>#DIV/0!</v>
      </c>
      <c r="O23" s="154"/>
      <c r="P23" s="154"/>
      <c r="Q23" s="155"/>
      <c r="R23" s="155" t="str">
        <f t="shared" si="3"/>
        <v>Thigh sf</v>
      </c>
      <c r="S23" s="165"/>
      <c r="T23" s="165"/>
      <c r="U23" s="180" t="e">
        <f t="shared" si="4"/>
        <v>#DIV/0!</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c r="H24" s="86"/>
      <c r="I24" s="86"/>
      <c r="J24" s="187"/>
      <c r="K24" s="182" t="e">
        <f t="shared" si="5"/>
        <v>#DIV/0!</v>
      </c>
      <c r="L24" s="188" t="e">
        <f t="shared" si="6"/>
        <v>#DIV/0!</v>
      </c>
      <c r="M24" s="187"/>
      <c r="N24" s="189" t="e">
        <f t="shared" si="2"/>
        <v>#DIV/0!</v>
      </c>
      <c r="O24" s="154"/>
      <c r="P24" s="154"/>
      <c r="Q24" s="155"/>
      <c r="R24" s="168" t="str">
        <f t="shared" si="3"/>
        <v>Calf sf</v>
      </c>
      <c r="S24" s="169"/>
      <c r="T24" s="169"/>
      <c r="U24" s="170" t="e">
        <f t="shared" si="4"/>
        <v>#DIV/0!</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c r="H25" s="85"/>
      <c r="I25" s="85"/>
      <c r="J25" s="134"/>
      <c r="K25" s="151" t="e">
        <f t="shared" si="5"/>
        <v>#DIV/0!</v>
      </c>
      <c r="L25" s="163" t="e">
        <f>IF(ABS(K25)&gt;1%,"Yes","No")</f>
        <v>#DIV/0!</v>
      </c>
      <c r="M25" s="134"/>
      <c r="N25" s="164" t="e">
        <f t="shared" si="2"/>
        <v>#DIV/0!</v>
      </c>
      <c r="O25" s="154"/>
      <c r="P25" s="154"/>
      <c r="Q25" s="155"/>
      <c r="R25" s="155" t="str">
        <f t="shared" si="3"/>
        <v>Arm girth relaxed</v>
      </c>
      <c r="S25" s="165"/>
      <c r="T25" s="165"/>
      <c r="U25" s="180" t="e">
        <f t="shared" si="4"/>
        <v>#DIV/0!</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t="e">
        <f>+U25-(PI()*U17/10)</f>
        <v>#DIV/0!</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c r="H27" s="85"/>
      <c r="I27" s="85"/>
      <c r="J27" s="134"/>
      <c r="K27" s="182" t="e">
        <f t="shared" si="5"/>
        <v>#DIV/0!</v>
      </c>
      <c r="L27" s="163" t="e">
        <f>IF(ABS(K27)&gt;1%,"Yes","No")</f>
        <v>#DIV/0!</v>
      </c>
      <c r="M27" s="134"/>
      <c r="N27" s="164" t="e">
        <f>IF(I27=0,AVERAGE(G27,H27),MEDIAN(G27,H27,I27))</f>
        <v>#DIV/0!</v>
      </c>
      <c r="O27" s="154"/>
      <c r="P27" s="154"/>
      <c r="Q27" s="155"/>
      <c r="R27" s="155" t="str">
        <f t="shared" si="3"/>
        <v>Arm girth flexed and tensed</v>
      </c>
      <c r="S27" s="165"/>
      <c r="T27" s="165"/>
      <c r="U27" s="180" t="e">
        <f>+N27</f>
        <v>#DIV/0!</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c r="H28" s="85"/>
      <c r="I28" s="85"/>
      <c r="J28" s="134"/>
      <c r="K28" s="182" t="e">
        <f t="shared" si="5"/>
        <v>#DIV/0!</v>
      </c>
      <c r="L28" s="163" t="e">
        <f>IF(ABS(K28)&gt;1%,"Yes","No")</f>
        <v>#DIV/0!</v>
      </c>
      <c r="M28" s="134"/>
      <c r="N28" s="164" t="e">
        <f>IF(I28=0,AVERAGE(G28,H28),MEDIAN(G28,H28,I28))</f>
        <v>#DIV/0!</v>
      </c>
      <c r="O28" s="154"/>
      <c r="P28" s="154"/>
      <c r="Q28" s="155"/>
      <c r="R28" s="155" t="str">
        <f t="shared" si="3"/>
        <v>Waist girth</v>
      </c>
      <c r="S28" s="165"/>
      <c r="T28" s="165"/>
      <c r="U28" s="180" t="e">
        <f>+N28</f>
        <v>#DIV/0!</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c r="H29" s="85"/>
      <c r="I29" s="85"/>
      <c r="J29" s="134"/>
      <c r="K29" s="182" t="e">
        <f t="shared" si="5"/>
        <v>#DIV/0!</v>
      </c>
      <c r="L29" s="163" t="e">
        <f>IF(ABS(K29)&gt;1%,"Yes","No")</f>
        <v>#DIV/0!</v>
      </c>
      <c r="M29" s="134"/>
      <c r="N29" s="164" t="e">
        <f>IF(I29=0,AVERAGE(G29,H29),MEDIAN(G29,H29,I29))</f>
        <v>#DIV/0!</v>
      </c>
      <c r="O29" s="154"/>
      <c r="P29" s="154"/>
      <c r="Q29" s="155"/>
      <c r="R29" s="155" t="str">
        <f t="shared" si="3"/>
        <v>Hips girth</v>
      </c>
      <c r="S29" s="165"/>
      <c r="T29" s="165"/>
      <c r="U29" s="180" t="e">
        <f>+N29</f>
        <v>#DIV/0!</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c r="H30" s="85"/>
      <c r="I30" s="85"/>
      <c r="J30" s="134"/>
      <c r="K30" s="182" t="e">
        <f>+(H30-G30)/(AVERAGE(G30:H30))</f>
        <v>#DIV/0!</v>
      </c>
      <c r="L30" s="163" t="e">
        <f>IF(ABS(K30)&gt;1%,"Yes","No")</f>
        <v>#DIV/0!</v>
      </c>
      <c r="M30" s="134"/>
      <c r="N30" s="164" t="e">
        <f>IF(I30=0,AVERAGE(G30,H30),MEDIAN(G30,H30,I30))</f>
        <v>#DIV/0!</v>
      </c>
      <c r="O30" s="154"/>
      <c r="P30" s="154"/>
      <c r="Q30" s="155"/>
      <c r="R30" s="155" t="str">
        <f t="shared" si="3"/>
        <v>Thigh middle girth</v>
      </c>
      <c r="S30" s="165"/>
      <c r="T30" s="165"/>
      <c r="U30" s="180" t="e">
        <f>+N30</f>
        <v>#DIV/0!</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t="e">
        <f>+U30-(PI()*U23/10)</f>
        <v>#DIV/0!</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c r="H32" s="85"/>
      <c r="I32" s="85"/>
      <c r="J32" s="134"/>
      <c r="K32" s="182" t="e">
        <f t="shared" si="5"/>
        <v>#DIV/0!</v>
      </c>
      <c r="L32" s="163" t="e">
        <f>IF(ABS(K32)&gt;1%,"Yes","No")</f>
        <v>#DIV/0!</v>
      </c>
      <c r="M32" s="134"/>
      <c r="N32" s="164" t="e">
        <f>IF(I32=0,AVERAGE(G32,H32),MEDIAN(G32,H32,I32))</f>
        <v>#DIV/0!</v>
      </c>
      <c r="O32" s="154"/>
      <c r="P32" s="154"/>
      <c r="Q32" s="155"/>
      <c r="R32" s="155" t="str">
        <f t="shared" si="3"/>
        <v>Calf girth</v>
      </c>
      <c r="S32" s="165"/>
      <c r="T32" s="165"/>
      <c r="U32" s="201" t="e">
        <f>+N32</f>
        <v>#DIV/0!</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t="e">
        <f>+U32-(PI()*U24/10)</f>
        <v>#DIV/0!</v>
      </c>
      <c r="V33" s="173" t="s">
        <v>26</v>
      </c>
      <c r="W33" s="33" t="e">
        <f>1/1.97*(+U33*((170.18/U$14)^1)-30.22)</f>
        <v>#DIV/0!</v>
      </c>
      <c r="X33" s="172"/>
      <c r="Y33" s="173"/>
      <c r="Z33" s="174"/>
      <c r="AA33" s="145"/>
    </row>
    <row r="34" spans="1:27" ht="18" customHeight="1">
      <c r="B34" s="161" t="str">
        <f>IF(Info!D34,"Humerus breadth","D Húmero")</f>
        <v>Humerus breadth</v>
      </c>
      <c r="C34" s="116"/>
      <c r="D34" s="116"/>
      <c r="E34" s="122"/>
      <c r="F34" s="110"/>
      <c r="G34" s="87"/>
      <c r="H34" s="87"/>
      <c r="I34" s="87"/>
      <c r="J34" s="134"/>
      <c r="K34" s="250"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82"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6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51"/>
      <c r="C39" s="222"/>
      <c r="D39" s="223" t="s">
        <v>31</v>
      </c>
      <c r="E39" s="251" t="s">
        <v>32</v>
      </c>
      <c r="F39" s="251"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51"/>
      <c r="D40" s="223">
        <f>IF(G13=H13,1,0)</f>
        <v>1</v>
      </c>
      <c r="E40" s="223">
        <f>IF(G13=I13,1,0)</f>
        <v>1</v>
      </c>
      <c r="F40" s="223">
        <f>IF(H13=I13,1,0)</f>
        <v>1</v>
      </c>
      <c r="G40" s="223">
        <f>IF(I13="",0,1)</f>
        <v>0</v>
      </c>
      <c r="H40" s="251" t="e">
        <f>IF(L13="Yes",1,0)</f>
        <v>#DIV/0!</v>
      </c>
      <c r="I40" s="224">
        <f>COUNTIF(G13,"")</f>
        <v>1</v>
      </c>
      <c r="J40" s="224">
        <f>COUNTIF(H13,"")</f>
        <v>1</v>
      </c>
      <c r="K40" s="224"/>
      <c r="L40" s="225"/>
      <c r="M40" s="225"/>
      <c r="N40" s="224"/>
      <c r="Q40" s="113"/>
      <c r="R40" s="113"/>
      <c r="S40" s="226" t="str">
        <f>'3'!S40</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51"/>
      <c r="D41" s="223">
        <f t="shared" ref="D41:D62" si="8">IF(G14=H14,1,0)</f>
        <v>1</v>
      </c>
      <c r="E41" s="223">
        <f t="shared" ref="E41:E62" si="9">IF(G14=I14,1,0)</f>
        <v>1</v>
      </c>
      <c r="F41" s="223">
        <f t="shared" ref="F41:F62" si="10">IF(H14=I14,1,0)</f>
        <v>1</v>
      </c>
      <c r="G41" s="223">
        <f t="shared" ref="G41:G62" si="11">IF(I14="",0,1)</f>
        <v>0</v>
      </c>
      <c r="H41" s="251" t="e">
        <f t="shared" ref="H41:H62" si="12">IF(L14="Yes",1,0)</f>
        <v>#DIV/0!</v>
      </c>
      <c r="I41" s="224">
        <f t="shared" ref="I41:J56" si="13">COUNTIF(G14,"")</f>
        <v>1</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48"/>
      <c r="D42" s="223">
        <f t="shared" si="8"/>
        <v>1</v>
      </c>
      <c r="E42" s="223">
        <f t="shared" si="9"/>
        <v>1</v>
      </c>
      <c r="F42" s="223">
        <f t="shared" si="10"/>
        <v>1</v>
      </c>
      <c r="G42" s="223">
        <f t="shared" si="11"/>
        <v>0</v>
      </c>
      <c r="H42" s="251"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48"/>
      <c r="D43" s="223">
        <f t="shared" si="8"/>
        <v>1</v>
      </c>
      <c r="E43" s="223">
        <f t="shared" si="9"/>
        <v>1</v>
      </c>
      <c r="F43" s="223">
        <f t="shared" si="10"/>
        <v>1</v>
      </c>
      <c r="G43" s="223">
        <f t="shared" si="11"/>
        <v>0</v>
      </c>
      <c r="H43" s="251"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51"/>
      <c r="D44" s="223">
        <f t="shared" si="8"/>
        <v>1</v>
      </c>
      <c r="E44" s="223">
        <f t="shared" si="9"/>
        <v>1</v>
      </c>
      <c r="F44" s="223">
        <f t="shared" si="10"/>
        <v>1</v>
      </c>
      <c r="G44" s="223">
        <f t="shared" si="11"/>
        <v>0</v>
      </c>
      <c r="H44" s="251" t="e">
        <f t="shared" si="12"/>
        <v>#DIV/0!</v>
      </c>
      <c r="I44" s="224">
        <f t="shared" si="13"/>
        <v>1</v>
      </c>
      <c r="J44" s="224">
        <f t="shared" si="13"/>
        <v>1</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51"/>
      <c r="D45" s="223">
        <f t="shared" si="8"/>
        <v>1</v>
      </c>
      <c r="E45" s="223">
        <f t="shared" si="9"/>
        <v>1</v>
      </c>
      <c r="F45" s="223">
        <f t="shared" si="10"/>
        <v>1</v>
      </c>
      <c r="G45" s="223">
        <f t="shared" si="11"/>
        <v>0</v>
      </c>
      <c r="H45" s="251" t="e">
        <f t="shared" si="12"/>
        <v>#DIV/0!</v>
      </c>
      <c r="I45" s="224">
        <f t="shared" si="13"/>
        <v>1</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51"/>
      <c r="D46" s="223">
        <f t="shared" si="8"/>
        <v>1</v>
      </c>
      <c r="E46" s="223">
        <f t="shared" si="9"/>
        <v>1</v>
      </c>
      <c r="F46" s="223">
        <f t="shared" si="10"/>
        <v>1</v>
      </c>
      <c r="G46" s="223">
        <f t="shared" si="11"/>
        <v>0</v>
      </c>
      <c r="H46" s="251" t="e">
        <f t="shared" si="12"/>
        <v>#DIV/0!</v>
      </c>
      <c r="I46" s="224">
        <f t="shared" si="13"/>
        <v>1</v>
      </c>
      <c r="J46" s="224">
        <f t="shared" si="13"/>
        <v>1</v>
      </c>
      <c r="K46" s="224"/>
      <c r="L46" s="225"/>
      <c r="M46" s="225"/>
      <c r="N46" s="224"/>
      <c r="O46" s="104"/>
      <c r="P46" s="104"/>
      <c r="Q46" s="113"/>
      <c r="R46" s="113"/>
      <c r="S46" s="226" t="str">
        <f>'3'!S46</f>
        <v>Waist/Hip ratio</v>
      </c>
      <c r="T46" s="124"/>
      <c r="U46" s="232" t="e">
        <f>+U28/U29</f>
        <v>#DIV/0!</v>
      </c>
      <c r="V46" s="126"/>
      <c r="W46" s="233"/>
      <c r="X46" s="201"/>
      <c r="Y46" s="126"/>
      <c r="Z46" s="115"/>
      <c r="AA46" s="115"/>
    </row>
    <row r="47" spans="1:27" s="109" customFormat="1">
      <c r="A47" s="234"/>
      <c r="B47" s="223" t="str">
        <f t="shared" si="7"/>
        <v>Iliac crest sf</v>
      </c>
      <c r="C47" s="251"/>
      <c r="D47" s="223">
        <f t="shared" si="8"/>
        <v>1</v>
      </c>
      <c r="E47" s="223">
        <f t="shared" si="9"/>
        <v>1</v>
      </c>
      <c r="F47" s="223">
        <f t="shared" si="10"/>
        <v>1</v>
      </c>
      <c r="G47" s="223">
        <f t="shared" si="11"/>
        <v>0</v>
      </c>
      <c r="H47" s="251" t="e">
        <f t="shared" si="12"/>
        <v>#DIV/0!</v>
      </c>
      <c r="I47" s="224">
        <f t="shared" si="13"/>
        <v>1</v>
      </c>
      <c r="J47" s="224">
        <f t="shared" si="13"/>
        <v>1</v>
      </c>
      <c r="K47" s="248"/>
      <c r="L47" s="248"/>
      <c r="M47" s="248"/>
      <c r="N47" s="248"/>
      <c r="O47" s="104"/>
      <c r="P47" s="104"/>
      <c r="Q47" s="113"/>
      <c r="R47" s="113"/>
      <c r="S47" s="104"/>
      <c r="T47" s="104"/>
      <c r="U47" s="104"/>
      <c r="V47" s="126"/>
      <c r="W47" s="233"/>
      <c r="X47" s="201"/>
      <c r="Y47" s="126"/>
      <c r="Z47" s="115"/>
      <c r="AA47" s="115"/>
    </row>
    <row r="48" spans="1:27" s="109" customFormat="1">
      <c r="B48" s="223" t="str">
        <f t="shared" si="7"/>
        <v>Supraspinale sf</v>
      </c>
      <c r="C48" s="251"/>
      <c r="D48" s="223">
        <f t="shared" si="8"/>
        <v>1</v>
      </c>
      <c r="E48" s="223">
        <f t="shared" si="9"/>
        <v>1</v>
      </c>
      <c r="F48" s="223">
        <f t="shared" si="10"/>
        <v>1</v>
      </c>
      <c r="G48" s="223">
        <f t="shared" si="11"/>
        <v>0</v>
      </c>
      <c r="H48" s="251" t="e">
        <f t="shared" si="12"/>
        <v>#DIV/0!</v>
      </c>
      <c r="I48" s="224">
        <f t="shared" si="13"/>
        <v>1</v>
      </c>
      <c r="J48" s="224">
        <f t="shared" si="13"/>
        <v>1</v>
      </c>
      <c r="K48" s="248"/>
      <c r="L48" s="248"/>
      <c r="M48" s="248"/>
      <c r="N48" s="248"/>
      <c r="O48" s="104"/>
      <c r="P48" s="104"/>
      <c r="Q48" s="113"/>
      <c r="R48" s="113"/>
      <c r="S48" s="226" t="str">
        <f>'3'!S48</f>
        <v>Sum of 6 skinfolds</v>
      </c>
      <c r="T48" s="104"/>
      <c r="U48" s="235" t="e">
        <f>SUM(U17:U18,U21:U24)</f>
        <v>#DIV/0!</v>
      </c>
      <c r="V48" s="227" t="str">
        <f>'3'!V48</f>
        <v>mm</v>
      </c>
      <c r="W48" s="233"/>
      <c r="X48" s="201"/>
      <c r="Y48" s="126"/>
      <c r="Z48" s="115"/>
      <c r="AA48" s="115"/>
    </row>
    <row r="49" spans="1:27" s="109" customFormat="1">
      <c r="B49" s="223" t="str">
        <f t="shared" si="7"/>
        <v>Abdominal sf</v>
      </c>
      <c r="C49" s="251"/>
      <c r="D49" s="223">
        <f t="shared" si="8"/>
        <v>1</v>
      </c>
      <c r="E49" s="223">
        <f t="shared" si="9"/>
        <v>1</v>
      </c>
      <c r="F49" s="223">
        <f t="shared" si="10"/>
        <v>1</v>
      </c>
      <c r="G49" s="223">
        <f t="shared" si="11"/>
        <v>0</v>
      </c>
      <c r="H49" s="251" t="e">
        <f t="shared" si="12"/>
        <v>#DIV/0!</v>
      </c>
      <c r="I49" s="224">
        <f>COUNTIF(G22,"")</f>
        <v>1</v>
      </c>
      <c r="J49" s="224">
        <f t="shared" si="13"/>
        <v>1</v>
      </c>
      <c r="K49" s="248"/>
      <c r="L49" s="248"/>
      <c r="M49" s="248"/>
      <c r="N49" s="248"/>
      <c r="Q49" s="236"/>
      <c r="R49" s="236"/>
      <c r="S49" s="226" t="str">
        <f>'3'!S49</f>
        <v>Sum of 8 skinfolds</v>
      </c>
      <c r="T49" s="104"/>
      <c r="U49" s="235" t="e">
        <f>SUM(U17:U24)</f>
        <v>#DIV/0!</v>
      </c>
      <c r="V49" s="227" t="str">
        <f>'3'!V49</f>
        <v>mm</v>
      </c>
      <c r="W49" s="126"/>
      <c r="X49" s="232"/>
      <c r="Y49" s="126"/>
      <c r="Z49" s="115"/>
      <c r="AA49" s="115"/>
    </row>
    <row r="50" spans="1:27">
      <c r="A50" s="109"/>
      <c r="B50" s="223" t="str">
        <f t="shared" si="7"/>
        <v>Thigh sf</v>
      </c>
      <c r="C50" s="251"/>
      <c r="D50" s="223">
        <f t="shared" si="8"/>
        <v>1</v>
      </c>
      <c r="E50" s="223">
        <f t="shared" si="9"/>
        <v>1</v>
      </c>
      <c r="F50" s="223">
        <f t="shared" si="10"/>
        <v>1</v>
      </c>
      <c r="G50" s="223">
        <f t="shared" si="11"/>
        <v>0</v>
      </c>
      <c r="H50" s="251" t="e">
        <f t="shared" si="12"/>
        <v>#DIV/0!</v>
      </c>
      <c r="I50" s="224">
        <f t="shared" si="13"/>
        <v>1</v>
      </c>
      <c r="J50" s="224">
        <f t="shared" si="13"/>
        <v>1</v>
      </c>
      <c r="K50" s="248"/>
      <c r="L50" s="248"/>
      <c r="M50" s="248"/>
      <c r="N50" s="248"/>
      <c r="O50" s="109"/>
      <c r="P50" s="109"/>
      <c r="Q50" s="236"/>
      <c r="R50" s="236"/>
      <c r="V50" s="124"/>
      <c r="W50" s="124"/>
      <c r="X50" s="237"/>
      <c r="Y50" s="124"/>
      <c r="Z50" s="145"/>
      <c r="AA50" s="145"/>
    </row>
    <row r="51" spans="1:27">
      <c r="B51" s="223" t="str">
        <f t="shared" si="7"/>
        <v>Calf sf</v>
      </c>
      <c r="C51" s="251"/>
      <c r="D51" s="223">
        <f t="shared" si="8"/>
        <v>1</v>
      </c>
      <c r="E51" s="223">
        <f t="shared" si="9"/>
        <v>1</v>
      </c>
      <c r="F51" s="223">
        <f t="shared" si="10"/>
        <v>1</v>
      </c>
      <c r="G51" s="223">
        <f t="shared" si="11"/>
        <v>0</v>
      </c>
      <c r="H51" s="251" t="e">
        <f t="shared" si="12"/>
        <v>#DIV/0!</v>
      </c>
      <c r="I51" s="224">
        <f t="shared" si="13"/>
        <v>1</v>
      </c>
      <c r="J51" s="224">
        <f t="shared" si="13"/>
        <v>1</v>
      </c>
      <c r="K51" s="248"/>
      <c r="L51" s="248"/>
      <c r="M51" s="248"/>
      <c r="N51" s="248"/>
      <c r="Q51" s="113"/>
      <c r="R51" s="113"/>
      <c r="S51" s="226" t="str">
        <f>'3'!S51</f>
        <v>Fat percentage</v>
      </c>
      <c r="T51" s="238"/>
      <c r="U51" s="35" t="e">
        <f>IF(U8=1,0.735*(U17+U24)+1,0.61*(U17+U24)+5.1)</f>
        <v>#DIV/0!</v>
      </c>
      <c r="V51" s="227" t="str">
        <f>'3'!V51</f>
        <v>(Slaughter)</v>
      </c>
      <c r="X51" s="229"/>
      <c r="Y51" s="124"/>
      <c r="Z51" s="145"/>
      <c r="AA51" s="145"/>
    </row>
    <row r="52" spans="1:27">
      <c r="B52" s="223" t="str">
        <f t="shared" si="7"/>
        <v>Arm girth relaxed</v>
      </c>
      <c r="C52" s="251"/>
      <c r="D52" s="223">
        <f t="shared" si="8"/>
        <v>1</v>
      </c>
      <c r="E52" s="223">
        <f t="shared" si="9"/>
        <v>1</v>
      </c>
      <c r="F52" s="223">
        <f t="shared" si="10"/>
        <v>1</v>
      </c>
      <c r="G52" s="223">
        <f t="shared" si="11"/>
        <v>0</v>
      </c>
      <c r="H52" s="251" t="e">
        <f t="shared" si="12"/>
        <v>#DIV/0!</v>
      </c>
      <c r="I52" s="224">
        <f t="shared" si="13"/>
        <v>1</v>
      </c>
      <c r="J52" s="224">
        <f t="shared" si="13"/>
        <v>1</v>
      </c>
      <c r="K52" s="248"/>
      <c r="L52" s="248"/>
      <c r="M52" s="248"/>
      <c r="N52" s="248"/>
      <c r="Q52" s="113"/>
      <c r="R52" s="113"/>
      <c r="U52" s="35" t="e">
        <f>IF(U8=1,0.153*(U17+U18+U21+U22)+5.783,0.213*(U17+U18+U21+U22)+7.9)</f>
        <v>#DIV/0!</v>
      </c>
      <c r="V52" s="227" t="str">
        <f>'3'!V52</f>
        <v>(Faulkner, from Yuhasz)</v>
      </c>
      <c r="X52" s="235"/>
      <c r="Y52" s="227"/>
      <c r="Z52" s="145"/>
      <c r="AA52" s="145"/>
    </row>
    <row r="53" spans="1:27">
      <c r="B53" s="251"/>
      <c r="C53" s="248"/>
      <c r="D53" s="248"/>
      <c r="E53" s="248"/>
      <c r="F53" s="248"/>
      <c r="G53" s="248"/>
      <c r="H53" s="248"/>
      <c r="I53" s="224"/>
      <c r="J53" s="224"/>
      <c r="K53" s="248"/>
      <c r="L53" s="248"/>
      <c r="M53" s="248"/>
      <c r="N53" s="248"/>
      <c r="Q53" s="113"/>
      <c r="R53" s="113"/>
      <c r="U53" s="35" t="e">
        <f>IF(U8=1,0.1051*(U48)+2.58,0.1548*(U48)+3.58)</f>
        <v>#DIV/0!</v>
      </c>
      <c r="V53" s="227" t="str">
        <f>'3'!V53</f>
        <v>(Carter, from Yuhasz)</v>
      </c>
      <c r="X53" s="229"/>
      <c r="Y53" s="227"/>
      <c r="Z53" s="145"/>
      <c r="AA53" s="145"/>
    </row>
    <row r="54" spans="1:27">
      <c r="B54" s="223" t="str">
        <f t="shared" si="7"/>
        <v>Arm girth flexed and tensed</v>
      </c>
      <c r="C54" s="251"/>
      <c r="D54" s="223">
        <f t="shared" si="8"/>
        <v>1</v>
      </c>
      <c r="E54" s="223">
        <f t="shared" si="9"/>
        <v>1</v>
      </c>
      <c r="F54" s="223">
        <f t="shared" si="10"/>
        <v>1</v>
      </c>
      <c r="G54" s="223">
        <f t="shared" si="11"/>
        <v>0</v>
      </c>
      <c r="H54" s="251" t="e">
        <f t="shared" si="12"/>
        <v>#DIV/0!</v>
      </c>
      <c r="I54" s="224">
        <f t="shared" si="13"/>
        <v>1</v>
      </c>
      <c r="J54" s="224">
        <f t="shared" si="13"/>
        <v>1</v>
      </c>
      <c r="K54" s="248"/>
      <c r="L54" s="248"/>
      <c r="M54" s="248"/>
      <c r="N54" s="248"/>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51"/>
      <c r="D55" s="223">
        <f t="shared" si="8"/>
        <v>1</v>
      </c>
      <c r="E55" s="223">
        <f t="shared" si="9"/>
        <v>1</v>
      </c>
      <c r="F55" s="223">
        <f t="shared" si="10"/>
        <v>1</v>
      </c>
      <c r="G55" s="223">
        <f t="shared" si="11"/>
        <v>0</v>
      </c>
      <c r="H55" s="251" t="e">
        <f t="shared" si="12"/>
        <v>#DIV/0!</v>
      </c>
      <c r="I55" s="224">
        <f t="shared" si="13"/>
        <v>1</v>
      </c>
      <c r="J55" s="224">
        <f t="shared" si="13"/>
        <v>1</v>
      </c>
      <c r="K55" s="248"/>
      <c r="L55" s="248">
        <f>COUNTIF(L13:L36,"yes")</f>
        <v>0</v>
      </c>
      <c r="M55" s="248"/>
      <c r="N55" s="248"/>
      <c r="Q55" s="113"/>
      <c r="R55" s="113"/>
      <c r="U55" s="35" t="e">
        <f>(U14/100*((0.0064*(U26^2))+(0.0032*(U31^2))+(0.0015*(U33^2)))+(2.56*IF(U8=1,1,0))+(0.136*(U10-U11)/365.25))*100/U13</f>
        <v>#DIV/0!</v>
      </c>
      <c r="V55" s="239" t="str">
        <f>'3'!V55</f>
        <v>(Poortmans)</v>
      </c>
      <c r="X55" s="240"/>
      <c r="Y55" s="227"/>
      <c r="Z55" s="145"/>
      <c r="AA55" s="145"/>
    </row>
    <row r="56" spans="1:27">
      <c r="B56" s="223" t="str">
        <f t="shared" si="7"/>
        <v>Hips girth</v>
      </c>
      <c r="C56" s="251"/>
      <c r="D56" s="223">
        <f t="shared" si="8"/>
        <v>1</v>
      </c>
      <c r="E56" s="223">
        <f t="shared" si="9"/>
        <v>1</v>
      </c>
      <c r="F56" s="223">
        <f t="shared" si="10"/>
        <v>1</v>
      </c>
      <c r="G56" s="223">
        <f t="shared" si="11"/>
        <v>0</v>
      </c>
      <c r="H56" s="251" t="e">
        <f t="shared" si="12"/>
        <v>#DIV/0!</v>
      </c>
      <c r="I56" s="224">
        <f t="shared" si="13"/>
        <v>1</v>
      </c>
      <c r="J56" s="224">
        <f t="shared" si="13"/>
        <v>1</v>
      </c>
      <c r="K56" s="248"/>
      <c r="L56" s="248"/>
      <c r="M56" s="248"/>
      <c r="N56" s="248"/>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51"/>
      <c r="D57" s="223">
        <f t="shared" si="8"/>
        <v>1</v>
      </c>
      <c r="E57" s="223">
        <f t="shared" si="9"/>
        <v>1</v>
      </c>
      <c r="F57" s="223">
        <f t="shared" si="10"/>
        <v>1</v>
      </c>
      <c r="G57" s="223">
        <f t="shared" si="11"/>
        <v>0</v>
      </c>
      <c r="H57" s="251" t="e">
        <f t="shared" si="12"/>
        <v>#DIV/0!</v>
      </c>
      <c r="I57" s="224">
        <f t="shared" ref="I57:J62" si="14">COUNTIF(G30,"")</f>
        <v>1</v>
      </c>
      <c r="J57" s="224">
        <f t="shared" si="14"/>
        <v>1</v>
      </c>
      <c r="K57" s="248"/>
      <c r="L57" s="248"/>
      <c r="M57" s="248"/>
      <c r="N57" s="248"/>
      <c r="Q57" s="113"/>
      <c r="R57" s="113"/>
      <c r="Z57" s="145"/>
      <c r="AA57" s="145"/>
    </row>
    <row r="58" spans="1:27">
      <c r="B58" s="251"/>
      <c r="C58" s="248"/>
      <c r="D58" s="248"/>
      <c r="E58" s="248"/>
      <c r="F58" s="248"/>
      <c r="G58" s="248"/>
      <c r="H58" s="248"/>
      <c r="I58" s="224"/>
      <c r="J58" s="224"/>
      <c r="K58" s="248"/>
      <c r="L58" s="248"/>
      <c r="M58" s="248"/>
      <c r="N58" s="248"/>
      <c r="Q58" s="113"/>
      <c r="R58" s="113"/>
      <c r="Y58" s="124"/>
      <c r="Z58" s="145"/>
      <c r="AA58" s="145"/>
    </row>
    <row r="59" spans="1:27" ht="13.8" thickBot="1">
      <c r="B59" s="223" t="str">
        <f t="shared" si="7"/>
        <v>Calf girth</v>
      </c>
      <c r="C59" s="251"/>
      <c r="D59" s="223">
        <f t="shared" si="8"/>
        <v>1</v>
      </c>
      <c r="E59" s="223">
        <f t="shared" si="9"/>
        <v>1</v>
      </c>
      <c r="F59" s="223">
        <f t="shared" si="10"/>
        <v>1</v>
      </c>
      <c r="G59" s="223">
        <f t="shared" si="11"/>
        <v>0</v>
      </c>
      <c r="H59" s="251" t="e">
        <f t="shared" si="12"/>
        <v>#DIV/0!</v>
      </c>
      <c r="I59" s="224">
        <f t="shared" si="14"/>
        <v>1</v>
      </c>
      <c r="J59" s="224">
        <f t="shared" si="14"/>
        <v>1</v>
      </c>
      <c r="K59" s="248"/>
      <c r="L59" s="248"/>
      <c r="M59" s="248"/>
      <c r="N59" s="248"/>
      <c r="Q59" s="113"/>
      <c r="R59" s="135"/>
      <c r="S59" s="136"/>
      <c r="T59" s="136"/>
      <c r="U59" s="136"/>
      <c r="V59" s="136"/>
      <c r="W59" s="136"/>
      <c r="X59" s="136"/>
      <c r="Y59" s="136"/>
      <c r="Z59" s="216"/>
      <c r="AA59" s="145"/>
    </row>
    <row r="60" spans="1:27" ht="14.4" thickTop="1" thickBot="1">
      <c r="B60" s="223"/>
      <c r="C60" s="248"/>
      <c r="D60" s="248"/>
      <c r="E60" s="248"/>
      <c r="F60" s="248"/>
      <c r="G60" s="248"/>
      <c r="H60" s="248"/>
      <c r="I60" s="224"/>
      <c r="J60" s="224"/>
      <c r="K60" s="248"/>
      <c r="L60" s="248"/>
      <c r="M60" s="248"/>
      <c r="N60" s="248"/>
      <c r="Q60" s="135"/>
      <c r="R60" s="136"/>
      <c r="S60" s="136"/>
      <c r="T60" s="136"/>
      <c r="U60" s="136"/>
      <c r="V60" s="136"/>
      <c r="W60" s="136"/>
      <c r="X60" s="136"/>
      <c r="Y60" s="136"/>
      <c r="Z60" s="136"/>
      <c r="AA60" s="216"/>
    </row>
    <row r="61" spans="1:27" ht="13.8" thickTop="1">
      <c r="B61" s="223" t="str">
        <f t="shared" si="7"/>
        <v>Humerus breadth</v>
      </c>
      <c r="C61" s="251"/>
      <c r="D61" s="223">
        <f t="shared" si="8"/>
        <v>1</v>
      </c>
      <c r="E61" s="223">
        <f t="shared" si="9"/>
        <v>1</v>
      </c>
      <c r="F61" s="223">
        <f t="shared" si="10"/>
        <v>1</v>
      </c>
      <c r="G61" s="223">
        <f t="shared" si="11"/>
        <v>0</v>
      </c>
      <c r="H61" s="251" t="e">
        <f t="shared" si="12"/>
        <v>#DIV/0!</v>
      </c>
      <c r="I61" s="224">
        <f t="shared" si="14"/>
        <v>1</v>
      </c>
      <c r="J61" s="224">
        <f t="shared" si="14"/>
        <v>1</v>
      </c>
      <c r="K61" s="248"/>
      <c r="L61" s="248"/>
      <c r="M61" s="248"/>
      <c r="N61" s="248"/>
      <c r="Q61" s="124"/>
      <c r="R61" s="124"/>
      <c r="S61" s="124"/>
      <c r="T61" s="124"/>
      <c r="U61" s="124"/>
      <c r="V61" s="124"/>
      <c r="W61" s="124"/>
      <c r="X61" s="124"/>
      <c r="Y61" s="124"/>
      <c r="Z61" s="124"/>
      <c r="AA61" s="124"/>
    </row>
    <row r="62" spans="1:27">
      <c r="B62" s="223" t="str">
        <f t="shared" si="7"/>
        <v>Bi-styloid breadth</v>
      </c>
      <c r="C62" s="251"/>
      <c r="D62" s="223">
        <f t="shared" si="8"/>
        <v>1</v>
      </c>
      <c r="E62" s="223">
        <f t="shared" si="9"/>
        <v>1</v>
      </c>
      <c r="F62" s="223">
        <f t="shared" si="10"/>
        <v>1</v>
      </c>
      <c r="G62" s="223">
        <f t="shared" si="11"/>
        <v>0</v>
      </c>
      <c r="H62" s="251" t="e">
        <f t="shared" si="12"/>
        <v>#DIV/0!</v>
      </c>
      <c r="I62" s="224">
        <f t="shared" si="14"/>
        <v>1</v>
      </c>
      <c r="J62" s="224">
        <f t="shared" si="14"/>
        <v>1</v>
      </c>
      <c r="K62" s="248"/>
      <c r="L62" s="248"/>
      <c r="M62" s="248"/>
      <c r="N62" s="248"/>
      <c r="Q62" s="124"/>
      <c r="R62" s="124"/>
      <c r="S62" s="124"/>
      <c r="T62" s="124"/>
      <c r="U62" s="124"/>
      <c r="V62" s="124"/>
      <c r="W62" s="124"/>
      <c r="X62" s="124"/>
      <c r="Y62" s="124"/>
      <c r="Z62" s="124"/>
      <c r="AA62" s="124"/>
    </row>
    <row r="63" spans="1:27">
      <c r="B63" s="223" t="str">
        <f>B36</f>
        <v>Femur breadth</v>
      </c>
      <c r="C63" s="251"/>
      <c r="D63" s="223">
        <f>IF(G36=H36,1,0)</f>
        <v>1</v>
      </c>
      <c r="E63" s="223">
        <f>IF(G36=I36,1,0)</f>
        <v>1</v>
      </c>
      <c r="F63" s="223">
        <f>IF(H36=I36,1,0)</f>
        <v>1</v>
      </c>
      <c r="G63" s="223">
        <f>IF(I36="",0,1)</f>
        <v>0</v>
      </c>
      <c r="H63" s="251" t="e">
        <f>IF(L36="Yes",1,0)</f>
        <v>#DIV/0!</v>
      </c>
      <c r="I63" s="224">
        <f>COUNTIF(G36,"")</f>
        <v>1</v>
      </c>
      <c r="J63" s="224">
        <f>COUNTIF(H36,"")</f>
        <v>1</v>
      </c>
      <c r="K63" s="248"/>
      <c r="L63" s="248"/>
      <c r="M63" s="248"/>
      <c r="N63" s="248"/>
      <c r="Q63" s="124"/>
      <c r="R63" s="124"/>
      <c r="S63" s="124"/>
      <c r="T63" s="124"/>
      <c r="U63" s="124"/>
      <c r="V63" s="124"/>
      <c r="W63" s="124"/>
      <c r="X63" s="124"/>
      <c r="Y63" s="124"/>
      <c r="Z63" s="124"/>
      <c r="AA63" s="124"/>
    </row>
    <row r="64" spans="1:27" s="242" customFormat="1">
      <c r="A64" s="104"/>
      <c r="B64" s="248"/>
      <c r="C64" s="251"/>
      <c r="D64" s="223">
        <f t="shared" ref="D64:J64" si="15">SUM(D40:D63)</f>
        <v>21</v>
      </c>
      <c r="E64" s="223">
        <f t="shared" si="15"/>
        <v>21</v>
      </c>
      <c r="F64" s="223">
        <f t="shared" si="15"/>
        <v>21</v>
      </c>
      <c r="G64" s="223">
        <f t="shared" si="15"/>
        <v>0</v>
      </c>
      <c r="H64" s="223" t="e">
        <f t="shared" si="15"/>
        <v>#DIV/0!</v>
      </c>
      <c r="I64" s="224">
        <f t="shared" si="15"/>
        <v>21</v>
      </c>
      <c r="J64" s="224">
        <f t="shared" si="15"/>
        <v>21</v>
      </c>
      <c r="K64" s="248"/>
      <c r="L64" s="248"/>
      <c r="M64" s="248"/>
      <c r="N64" s="248"/>
      <c r="O64" s="104"/>
      <c r="P64" s="104"/>
      <c r="Q64" s="104"/>
      <c r="R64" s="104"/>
      <c r="S64" s="104"/>
      <c r="T64" s="124"/>
      <c r="U64" s="124"/>
      <c r="V64" s="124"/>
    </row>
    <row r="65" spans="1:22" s="242" customFormat="1">
      <c r="B65" s="248"/>
      <c r="C65" s="248"/>
      <c r="D65" s="248"/>
      <c r="E65" s="248"/>
      <c r="F65" s="248"/>
      <c r="G65" s="248"/>
      <c r="H65" s="248"/>
      <c r="I65" s="248"/>
      <c r="J65" s="248"/>
      <c r="K65" s="248"/>
      <c r="L65" s="248"/>
      <c r="M65" s="248"/>
      <c r="N65" s="248"/>
      <c r="T65" s="124"/>
      <c r="U65" s="124"/>
      <c r="V65" s="124"/>
    </row>
    <row r="66" spans="1:22">
      <c r="A66" s="243"/>
      <c r="B66" s="248"/>
      <c r="C66" s="248"/>
      <c r="D66" s="248"/>
      <c r="E66" s="248"/>
      <c r="F66" s="248"/>
      <c r="G66" s="248"/>
      <c r="H66" s="248"/>
      <c r="I66" s="248"/>
      <c r="J66" s="248"/>
      <c r="K66" s="248"/>
      <c r="L66" s="248"/>
      <c r="M66" s="248"/>
      <c r="N66" s="248"/>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48">
        <f>ABS(G67-H67)</f>
        <v>0</v>
      </c>
      <c r="K67" s="248">
        <f>ABS(I67-G67)</f>
        <v>0</v>
      </c>
      <c r="L67" s="248">
        <f>ABS(H67-I67)</f>
        <v>0</v>
      </c>
      <c r="M67" s="252">
        <f>IF(J67=MIN(J67:L67),G67,IF(K67=MIN(J67:L67),G67,H67))</f>
        <v>0</v>
      </c>
      <c r="N67" s="252">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48">
        <f t="shared" ref="J68:J87" si="18">ABS(G68-H68)</f>
        <v>0</v>
      </c>
      <c r="K68" s="248">
        <f t="shared" ref="K68:K87" si="19">ABS(I68-G68)</f>
        <v>0</v>
      </c>
      <c r="L68" s="248">
        <f t="shared" ref="L68:L87" si="20">ABS(H68-I68)</f>
        <v>0</v>
      </c>
      <c r="M68" s="252">
        <f t="shared" ref="M68:M87" si="21">IF(J68=MIN(J68:L68),G68,IF(K68=MIN(J68:L68),G68,H68))</f>
        <v>0</v>
      </c>
      <c r="N68" s="252">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48">
        <f t="shared" si="18"/>
        <v>0</v>
      </c>
      <c r="K69" s="248">
        <f t="shared" si="19"/>
        <v>0</v>
      </c>
      <c r="L69" s="248">
        <f t="shared" si="20"/>
        <v>0</v>
      </c>
      <c r="M69" s="252">
        <f t="shared" si="21"/>
        <v>0</v>
      </c>
      <c r="N69" s="252">
        <f t="shared" si="22"/>
        <v>0</v>
      </c>
    </row>
    <row r="70" spans="1:22" s="247" customFormat="1">
      <c r="B70" s="269" t="str">
        <f t="shared" si="17"/>
        <v>Arm Span</v>
      </c>
      <c r="C70" s="269"/>
      <c r="D70" s="269"/>
      <c r="E70" s="269"/>
      <c r="F70" s="269"/>
      <c r="G70" s="245">
        <f t="shared" si="16"/>
        <v>0</v>
      </c>
      <c r="H70" s="245">
        <f t="shared" si="16"/>
        <v>0</v>
      </c>
      <c r="I70" s="245">
        <f t="shared" si="16"/>
        <v>0</v>
      </c>
      <c r="J70" s="248">
        <f t="shared" si="18"/>
        <v>0</v>
      </c>
      <c r="K70" s="248">
        <f t="shared" si="19"/>
        <v>0</v>
      </c>
      <c r="L70" s="248">
        <f t="shared" si="20"/>
        <v>0</v>
      </c>
      <c r="M70" s="252">
        <f t="shared" si="21"/>
        <v>0</v>
      </c>
      <c r="N70" s="252">
        <f t="shared" si="22"/>
        <v>0</v>
      </c>
    </row>
    <row r="71" spans="1:22" s="247" customFormat="1">
      <c r="B71" s="269" t="str">
        <f t="shared" si="17"/>
        <v>Triceps sf</v>
      </c>
      <c r="C71" s="269"/>
      <c r="D71" s="269"/>
      <c r="E71" s="269"/>
      <c r="F71" s="269"/>
      <c r="G71" s="245">
        <f t="shared" si="16"/>
        <v>0</v>
      </c>
      <c r="H71" s="245">
        <f t="shared" si="16"/>
        <v>0</v>
      </c>
      <c r="I71" s="245">
        <f t="shared" si="16"/>
        <v>0</v>
      </c>
      <c r="J71" s="248">
        <f t="shared" si="18"/>
        <v>0</v>
      </c>
      <c r="K71" s="248">
        <f t="shared" si="19"/>
        <v>0</v>
      </c>
      <c r="L71" s="248">
        <f t="shared" si="20"/>
        <v>0</v>
      </c>
      <c r="M71" s="252">
        <f t="shared" si="21"/>
        <v>0</v>
      </c>
      <c r="N71" s="252">
        <f t="shared" si="22"/>
        <v>0</v>
      </c>
    </row>
    <row r="72" spans="1:22" s="247" customFormat="1">
      <c r="B72" s="269" t="str">
        <f t="shared" si="17"/>
        <v>Subscapular sf</v>
      </c>
      <c r="C72" s="269"/>
      <c r="D72" s="269"/>
      <c r="E72" s="269"/>
      <c r="F72" s="269"/>
      <c r="G72" s="245">
        <f t="shared" si="16"/>
        <v>0</v>
      </c>
      <c r="H72" s="245">
        <f t="shared" si="16"/>
        <v>0</v>
      </c>
      <c r="I72" s="245">
        <f t="shared" si="16"/>
        <v>0</v>
      </c>
      <c r="J72" s="248">
        <f t="shared" si="18"/>
        <v>0</v>
      </c>
      <c r="K72" s="248">
        <f t="shared" si="19"/>
        <v>0</v>
      </c>
      <c r="L72" s="248">
        <f t="shared" si="20"/>
        <v>0</v>
      </c>
      <c r="M72" s="252">
        <f t="shared" si="21"/>
        <v>0</v>
      </c>
      <c r="N72" s="252">
        <f t="shared" si="22"/>
        <v>0</v>
      </c>
    </row>
    <row r="73" spans="1:22" s="247" customFormat="1">
      <c r="B73" s="269" t="str">
        <f t="shared" si="17"/>
        <v>Biceps sf</v>
      </c>
      <c r="C73" s="269"/>
      <c r="D73" s="269"/>
      <c r="E73" s="269"/>
      <c r="F73" s="269"/>
      <c r="G73" s="245">
        <f t="shared" si="16"/>
        <v>0</v>
      </c>
      <c r="H73" s="245">
        <f t="shared" si="16"/>
        <v>0</v>
      </c>
      <c r="I73" s="245">
        <f t="shared" si="16"/>
        <v>0</v>
      </c>
      <c r="J73" s="248">
        <f t="shared" si="18"/>
        <v>0</v>
      </c>
      <c r="K73" s="248">
        <f t="shared" si="19"/>
        <v>0</v>
      </c>
      <c r="L73" s="248">
        <f t="shared" si="20"/>
        <v>0</v>
      </c>
      <c r="M73" s="252">
        <f t="shared" si="21"/>
        <v>0</v>
      </c>
      <c r="N73" s="252">
        <f t="shared" si="22"/>
        <v>0</v>
      </c>
    </row>
    <row r="74" spans="1:22" s="247" customFormat="1">
      <c r="B74" s="269" t="str">
        <f t="shared" si="17"/>
        <v>Iliac crest sf</v>
      </c>
      <c r="C74" s="269"/>
      <c r="D74" s="269"/>
      <c r="E74" s="269"/>
      <c r="F74" s="269"/>
      <c r="G74" s="245">
        <f t="shared" si="16"/>
        <v>0</v>
      </c>
      <c r="H74" s="245">
        <f t="shared" si="16"/>
        <v>0</v>
      </c>
      <c r="I74" s="245">
        <f t="shared" si="16"/>
        <v>0</v>
      </c>
      <c r="J74" s="248">
        <f t="shared" si="18"/>
        <v>0</v>
      </c>
      <c r="K74" s="248">
        <f t="shared" si="19"/>
        <v>0</v>
      </c>
      <c r="L74" s="248">
        <f t="shared" si="20"/>
        <v>0</v>
      </c>
      <c r="M74" s="252">
        <f t="shared" si="21"/>
        <v>0</v>
      </c>
      <c r="N74" s="252">
        <f t="shared" si="22"/>
        <v>0</v>
      </c>
    </row>
    <row r="75" spans="1:22" s="247" customFormat="1">
      <c r="B75" s="269" t="str">
        <f t="shared" si="17"/>
        <v>Supraspinale sf</v>
      </c>
      <c r="C75" s="269"/>
      <c r="D75" s="269"/>
      <c r="E75" s="269"/>
      <c r="F75" s="269"/>
      <c r="G75" s="245">
        <f t="shared" si="16"/>
        <v>0</v>
      </c>
      <c r="H75" s="245">
        <f t="shared" si="16"/>
        <v>0</v>
      </c>
      <c r="I75" s="245">
        <f t="shared" si="16"/>
        <v>0</v>
      </c>
      <c r="J75" s="248">
        <f t="shared" si="18"/>
        <v>0</v>
      </c>
      <c r="K75" s="248">
        <f t="shared" si="19"/>
        <v>0</v>
      </c>
      <c r="L75" s="248">
        <f t="shared" si="20"/>
        <v>0</v>
      </c>
      <c r="M75" s="252">
        <f t="shared" si="21"/>
        <v>0</v>
      </c>
      <c r="N75" s="252">
        <f t="shared" si="22"/>
        <v>0</v>
      </c>
    </row>
    <row r="76" spans="1:22" s="247" customFormat="1">
      <c r="B76" s="269" t="str">
        <f t="shared" si="17"/>
        <v>Abdominal sf</v>
      </c>
      <c r="C76" s="269"/>
      <c r="D76" s="269"/>
      <c r="E76" s="269"/>
      <c r="F76" s="269"/>
      <c r="G76" s="245">
        <f t="shared" si="16"/>
        <v>0</v>
      </c>
      <c r="H76" s="245">
        <f t="shared" si="16"/>
        <v>0</v>
      </c>
      <c r="I76" s="245">
        <f t="shared" si="16"/>
        <v>0</v>
      </c>
      <c r="J76" s="248">
        <f t="shared" si="18"/>
        <v>0</v>
      </c>
      <c r="K76" s="248">
        <f t="shared" si="19"/>
        <v>0</v>
      </c>
      <c r="L76" s="248">
        <f t="shared" si="20"/>
        <v>0</v>
      </c>
      <c r="M76" s="252">
        <f t="shared" si="21"/>
        <v>0</v>
      </c>
      <c r="N76" s="252">
        <f t="shared" si="22"/>
        <v>0</v>
      </c>
    </row>
    <row r="77" spans="1:22" s="247" customFormat="1">
      <c r="A77" s="244"/>
      <c r="B77" s="269" t="str">
        <f t="shared" si="17"/>
        <v>Thigh sf</v>
      </c>
      <c r="C77" s="269"/>
      <c r="D77" s="269"/>
      <c r="E77" s="269"/>
      <c r="F77" s="269"/>
      <c r="G77" s="245">
        <f t="shared" si="16"/>
        <v>0</v>
      </c>
      <c r="H77" s="245">
        <f t="shared" si="16"/>
        <v>0</v>
      </c>
      <c r="I77" s="245">
        <f t="shared" si="16"/>
        <v>0</v>
      </c>
      <c r="J77" s="248">
        <f t="shared" si="18"/>
        <v>0</v>
      </c>
      <c r="K77" s="248">
        <f t="shared" si="19"/>
        <v>0</v>
      </c>
      <c r="L77" s="248">
        <f t="shared" si="20"/>
        <v>0</v>
      </c>
      <c r="M77" s="252">
        <f t="shared" si="21"/>
        <v>0</v>
      </c>
      <c r="N77" s="252">
        <f t="shared" si="22"/>
        <v>0</v>
      </c>
    </row>
    <row r="78" spans="1:22" s="247" customFormat="1">
      <c r="B78" s="269" t="str">
        <f t="shared" si="17"/>
        <v>Calf sf</v>
      </c>
      <c r="C78" s="269"/>
      <c r="D78" s="269"/>
      <c r="E78" s="269"/>
      <c r="F78" s="269"/>
      <c r="G78" s="245">
        <f t="shared" si="16"/>
        <v>0</v>
      </c>
      <c r="H78" s="245">
        <f t="shared" si="16"/>
        <v>0</v>
      </c>
      <c r="I78" s="245">
        <f t="shared" si="16"/>
        <v>0</v>
      </c>
      <c r="J78" s="248">
        <f t="shared" si="18"/>
        <v>0</v>
      </c>
      <c r="K78" s="248">
        <f t="shared" si="19"/>
        <v>0</v>
      </c>
      <c r="L78" s="248">
        <f t="shared" si="20"/>
        <v>0</v>
      </c>
      <c r="M78" s="252">
        <f t="shared" si="21"/>
        <v>0</v>
      </c>
      <c r="N78" s="252">
        <f t="shared" si="22"/>
        <v>0</v>
      </c>
    </row>
    <row r="79" spans="1:22" s="247" customFormat="1">
      <c r="B79" s="269" t="str">
        <f t="shared" si="17"/>
        <v>Arm girth relaxed</v>
      </c>
      <c r="C79" s="269"/>
      <c r="D79" s="269"/>
      <c r="E79" s="269"/>
      <c r="F79" s="269"/>
      <c r="G79" s="245">
        <f t="shared" si="16"/>
        <v>0</v>
      </c>
      <c r="H79" s="245">
        <f t="shared" si="16"/>
        <v>0</v>
      </c>
      <c r="I79" s="245">
        <f t="shared" si="16"/>
        <v>0</v>
      </c>
      <c r="J79" s="248">
        <f t="shared" si="18"/>
        <v>0</v>
      </c>
      <c r="K79" s="248">
        <f t="shared" si="19"/>
        <v>0</v>
      </c>
      <c r="L79" s="248">
        <f t="shared" si="20"/>
        <v>0</v>
      </c>
      <c r="M79" s="252">
        <f t="shared" si="21"/>
        <v>0</v>
      </c>
      <c r="N79" s="252">
        <f t="shared" si="22"/>
        <v>0</v>
      </c>
    </row>
    <row r="80" spans="1:22" s="247" customFormat="1">
      <c r="B80" s="269" t="str">
        <f>B27</f>
        <v>Arm girth flexed and tensed</v>
      </c>
      <c r="C80" s="269"/>
      <c r="D80" s="269"/>
      <c r="E80" s="269"/>
      <c r="F80" s="269"/>
      <c r="G80" s="245">
        <f t="shared" ref="G80:I83" si="23">+G27</f>
        <v>0</v>
      </c>
      <c r="H80" s="245">
        <f t="shared" si="23"/>
        <v>0</v>
      </c>
      <c r="I80" s="245">
        <f t="shared" si="23"/>
        <v>0</v>
      </c>
      <c r="J80" s="248">
        <f t="shared" si="18"/>
        <v>0</v>
      </c>
      <c r="K80" s="248">
        <f t="shared" si="19"/>
        <v>0</v>
      </c>
      <c r="L80" s="248">
        <f t="shared" si="20"/>
        <v>0</v>
      </c>
      <c r="M80" s="252">
        <f t="shared" si="21"/>
        <v>0</v>
      </c>
      <c r="N80" s="252">
        <f t="shared" si="22"/>
        <v>0</v>
      </c>
    </row>
    <row r="81" spans="1:14" s="247" customFormat="1">
      <c r="B81" s="269" t="str">
        <f>B28</f>
        <v>Waist girth</v>
      </c>
      <c r="C81" s="269"/>
      <c r="D81" s="269"/>
      <c r="E81" s="269"/>
      <c r="F81" s="269"/>
      <c r="G81" s="245">
        <f t="shared" si="23"/>
        <v>0</v>
      </c>
      <c r="H81" s="245">
        <f t="shared" si="23"/>
        <v>0</v>
      </c>
      <c r="I81" s="245">
        <f t="shared" si="23"/>
        <v>0</v>
      </c>
      <c r="J81" s="248">
        <f t="shared" si="18"/>
        <v>0</v>
      </c>
      <c r="K81" s="248">
        <f t="shared" si="19"/>
        <v>0</v>
      </c>
      <c r="L81" s="248">
        <f t="shared" si="20"/>
        <v>0</v>
      </c>
      <c r="M81" s="252">
        <f t="shared" si="21"/>
        <v>0</v>
      </c>
      <c r="N81" s="252">
        <f t="shared" si="22"/>
        <v>0</v>
      </c>
    </row>
    <row r="82" spans="1:14" s="247" customFormat="1">
      <c r="B82" s="269" t="str">
        <f>B29</f>
        <v>Hips girth</v>
      </c>
      <c r="C82" s="269"/>
      <c r="D82" s="269"/>
      <c r="E82" s="269"/>
      <c r="F82" s="269"/>
      <c r="G82" s="245">
        <f t="shared" si="23"/>
        <v>0</v>
      </c>
      <c r="H82" s="245">
        <f t="shared" si="23"/>
        <v>0</v>
      </c>
      <c r="I82" s="245">
        <f t="shared" si="23"/>
        <v>0</v>
      </c>
      <c r="J82" s="248">
        <f t="shared" si="18"/>
        <v>0</v>
      </c>
      <c r="K82" s="248">
        <f t="shared" si="19"/>
        <v>0</v>
      </c>
      <c r="L82" s="248">
        <f t="shared" si="20"/>
        <v>0</v>
      </c>
      <c r="M82" s="252">
        <f t="shared" si="21"/>
        <v>0</v>
      </c>
      <c r="N82" s="252">
        <f t="shared" si="22"/>
        <v>0</v>
      </c>
    </row>
    <row r="83" spans="1:14">
      <c r="A83" s="247"/>
      <c r="B83" s="269" t="str">
        <f>B30</f>
        <v>Thigh middle girth</v>
      </c>
      <c r="C83" s="269"/>
      <c r="D83" s="269"/>
      <c r="E83" s="269"/>
      <c r="F83" s="269"/>
      <c r="G83" s="245">
        <f t="shared" si="23"/>
        <v>0</v>
      </c>
      <c r="H83" s="245">
        <f t="shared" si="23"/>
        <v>0</v>
      </c>
      <c r="I83" s="245">
        <f t="shared" si="23"/>
        <v>0</v>
      </c>
      <c r="J83" s="248">
        <f t="shared" si="18"/>
        <v>0</v>
      </c>
      <c r="K83" s="248">
        <f t="shared" si="19"/>
        <v>0</v>
      </c>
      <c r="L83" s="248">
        <f t="shared" si="20"/>
        <v>0</v>
      </c>
      <c r="M83" s="252">
        <f t="shared" si="21"/>
        <v>0</v>
      </c>
      <c r="N83" s="252">
        <f t="shared" si="22"/>
        <v>0</v>
      </c>
    </row>
    <row r="84" spans="1:14">
      <c r="B84" s="269" t="str">
        <f>B32</f>
        <v>Calf girth</v>
      </c>
      <c r="C84" s="269"/>
      <c r="D84" s="269"/>
      <c r="E84" s="269"/>
      <c r="F84" s="269"/>
      <c r="G84" s="245">
        <f>+G32</f>
        <v>0</v>
      </c>
      <c r="H84" s="245">
        <f>+H32</f>
        <v>0</v>
      </c>
      <c r="I84" s="245">
        <f>+I32</f>
        <v>0</v>
      </c>
      <c r="J84" s="248">
        <f t="shared" si="18"/>
        <v>0</v>
      </c>
      <c r="K84" s="248">
        <f t="shared" si="19"/>
        <v>0</v>
      </c>
      <c r="L84" s="248">
        <f t="shared" si="20"/>
        <v>0</v>
      </c>
      <c r="M84" s="252">
        <f t="shared" si="21"/>
        <v>0</v>
      </c>
      <c r="N84" s="252">
        <f t="shared" si="22"/>
        <v>0</v>
      </c>
    </row>
    <row r="85" spans="1:14">
      <c r="B85" s="269" t="str">
        <f>B34</f>
        <v>Humerus breadth</v>
      </c>
      <c r="C85" s="269"/>
      <c r="D85" s="269"/>
      <c r="E85" s="269"/>
      <c r="F85" s="269"/>
      <c r="G85" s="245">
        <f t="shared" ref="G85:I87" si="24">+G34</f>
        <v>0</v>
      </c>
      <c r="H85" s="245">
        <f t="shared" si="24"/>
        <v>0</v>
      </c>
      <c r="I85" s="245">
        <f t="shared" si="24"/>
        <v>0</v>
      </c>
      <c r="J85" s="248">
        <f t="shared" si="18"/>
        <v>0</v>
      </c>
      <c r="K85" s="248">
        <f t="shared" si="19"/>
        <v>0</v>
      </c>
      <c r="L85" s="248">
        <f t="shared" si="20"/>
        <v>0</v>
      </c>
      <c r="M85" s="252">
        <f t="shared" si="21"/>
        <v>0</v>
      </c>
      <c r="N85" s="252">
        <f t="shared" si="22"/>
        <v>0</v>
      </c>
    </row>
    <row r="86" spans="1:14">
      <c r="B86" s="269" t="str">
        <f>B35</f>
        <v>Bi-styloid breadth</v>
      </c>
      <c r="C86" s="269"/>
      <c r="D86" s="269"/>
      <c r="E86" s="269"/>
      <c r="F86" s="269"/>
      <c r="G86" s="245">
        <f t="shared" si="24"/>
        <v>0</v>
      </c>
      <c r="H86" s="245">
        <f t="shared" si="24"/>
        <v>0</v>
      </c>
      <c r="I86" s="245">
        <f t="shared" si="24"/>
        <v>0</v>
      </c>
      <c r="J86" s="248">
        <f t="shared" si="18"/>
        <v>0</v>
      </c>
      <c r="K86" s="248">
        <f t="shared" si="19"/>
        <v>0</v>
      </c>
      <c r="L86" s="248">
        <f t="shared" si="20"/>
        <v>0</v>
      </c>
      <c r="M86" s="252">
        <f t="shared" si="21"/>
        <v>0</v>
      </c>
      <c r="N86" s="252">
        <f t="shared" si="22"/>
        <v>0</v>
      </c>
    </row>
    <row r="87" spans="1:14">
      <c r="B87" s="269" t="str">
        <f>B36</f>
        <v>Femur breadth</v>
      </c>
      <c r="C87" s="269"/>
      <c r="D87" s="269"/>
      <c r="E87" s="269"/>
      <c r="F87" s="269"/>
      <c r="G87" s="245">
        <f t="shared" si="24"/>
        <v>0</v>
      </c>
      <c r="H87" s="245">
        <f t="shared" si="24"/>
        <v>0</v>
      </c>
      <c r="I87" s="245">
        <f t="shared" si="24"/>
        <v>0</v>
      </c>
      <c r="J87" s="248">
        <f t="shared" si="18"/>
        <v>0</v>
      </c>
      <c r="K87" s="248">
        <f t="shared" si="19"/>
        <v>0</v>
      </c>
      <c r="L87" s="248">
        <f t="shared" si="20"/>
        <v>0</v>
      </c>
      <c r="M87" s="252">
        <f t="shared" si="21"/>
        <v>0</v>
      </c>
      <c r="N87" s="252">
        <f t="shared" si="22"/>
        <v>0</v>
      </c>
    </row>
    <row r="88" spans="1:14">
      <c r="M88" s="103"/>
      <c r="N88" s="103"/>
    </row>
    <row r="89" spans="1:14">
      <c r="M89" s="103"/>
      <c r="N89" s="103"/>
    </row>
    <row r="90" spans="1:14">
      <c r="M90" s="103"/>
      <c r="N90" s="103"/>
    </row>
    <row r="91" spans="1:14">
      <c r="M91" s="103"/>
      <c r="N91" s="103"/>
    </row>
  </sheetData>
  <sheetProtection algorithmName="SHA-512" hashValue="Et7KnKXW3VBdbZKxPsWSp9Ufrvvf+PQqiMYJWHM5mlrb4RMkrVLXWrS77wg0ykXwG83juOnS1ebM4odnsPfVSA==" saltValue="LaPpj0plkjIPE9RvnoI3Eg=="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91"/>
  <sheetViews>
    <sheetView topLeftCell="A4" zoomScale="68" zoomScaleNormal="68" zoomScaleSheetLayoutView="75" workbookViewId="0">
      <selection activeCell="G4" sqref="G4"/>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c r="H8" s="74"/>
      <c r="I8" s="77"/>
      <c r="J8" s="129"/>
      <c r="K8" s="129"/>
      <c r="L8" s="129"/>
      <c r="M8" s="129"/>
      <c r="N8" s="123"/>
      <c r="O8" s="104"/>
      <c r="P8" s="104"/>
      <c r="Q8" s="113"/>
      <c r="R8" s="113" t="str">
        <f t="shared" si="0"/>
        <v>Sex (male=1, female=2)</v>
      </c>
      <c r="S8" s="124"/>
      <c r="T8" s="124"/>
      <c r="U8" s="125">
        <f t="shared" si="1"/>
        <v>0</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c r="H10" s="76"/>
      <c r="I10" s="76"/>
      <c r="J10" s="111"/>
      <c r="K10" s="111"/>
      <c r="L10" s="111"/>
      <c r="M10" s="111"/>
      <c r="N10" s="122"/>
      <c r="O10" s="104"/>
      <c r="P10" s="104"/>
      <c r="Q10" s="113"/>
      <c r="R10" s="113" t="str">
        <f t="shared" si="0"/>
        <v>Date of Measurement</v>
      </c>
      <c r="S10" s="124"/>
      <c r="T10" s="124"/>
      <c r="U10" s="131">
        <f t="shared" si="1"/>
        <v>0</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66" t="e">
        <f t="shared" si="4"/>
        <v>#DIV/0!</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c r="H17" s="84"/>
      <c r="I17" s="84"/>
      <c r="J17" s="150"/>
      <c r="K17" s="151" t="e">
        <f t="shared" si="5"/>
        <v>#DIV/0!</v>
      </c>
      <c r="L17" s="152" t="e">
        <f t="shared" ref="L17:L24" si="6">IF(ABS(K17)&gt;5%,"Yes","No")</f>
        <v>#DIV/0!</v>
      </c>
      <c r="M17" s="150"/>
      <c r="N17" s="153" t="e">
        <f t="shared" si="2"/>
        <v>#DIV/0!</v>
      </c>
      <c r="O17" s="154"/>
      <c r="P17" s="154"/>
      <c r="Q17" s="155"/>
      <c r="R17" s="156" t="str">
        <f t="shared" si="3"/>
        <v>Triceps sf</v>
      </c>
      <c r="S17" s="157"/>
      <c r="T17" s="157"/>
      <c r="U17" s="175" t="e">
        <f t="shared" si="4"/>
        <v>#DIV/0!</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c r="H18" s="85"/>
      <c r="I18" s="85"/>
      <c r="J18" s="134"/>
      <c r="K18" s="162" t="e">
        <f t="shared" si="5"/>
        <v>#DIV/0!</v>
      </c>
      <c r="L18" s="163" t="e">
        <f t="shared" si="6"/>
        <v>#DIV/0!</v>
      </c>
      <c r="M18" s="134"/>
      <c r="N18" s="164" t="e">
        <f t="shared" si="2"/>
        <v>#DIV/0!</v>
      </c>
      <c r="O18" s="154"/>
      <c r="P18" s="154"/>
      <c r="Q18" s="155"/>
      <c r="R18" s="155" t="str">
        <f t="shared" si="3"/>
        <v>Subscapular sf</v>
      </c>
      <c r="S18" s="165"/>
      <c r="T18" s="165"/>
      <c r="U18" s="180" t="e">
        <f t="shared" si="4"/>
        <v>#DIV/0!</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c r="H19" s="85"/>
      <c r="I19" s="85"/>
      <c r="J19" s="134"/>
      <c r="K19" s="182" t="e">
        <f t="shared" si="5"/>
        <v>#DIV/0!</v>
      </c>
      <c r="L19" s="163" t="e">
        <f t="shared" si="6"/>
        <v>#DIV/0!</v>
      </c>
      <c r="M19" s="134"/>
      <c r="N19" s="164" t="e">
        <f t="shared" si="2"/>
        <v>#DIV/0!</v>
      </c>
      <c r="O19" s="154"/>
      <c r="P19" s="154"/>
      <c r="Q19" s="155"/>
      <c r="R19" s="155" t="str">
        <f t="shared" si="3"/>
        <v>Biceps sf</v>
      </c>
      <c r="S19" s="165"/>
      <c r="T19" s="165"/>
      <c r="U19" s="180" t="e">
        <f t="shared" si="4"/>
        <v>#DIV/0!</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c r="H20" s="85"/>
      <c r="I20" s="85"/>
      <c r="J20" s="134"/>
      <c r="K20" s="182" t="e">
        <f t="shared" si="5"/>
        <v>#DIV/0!</v>
      </c>
      <c r="L20" s="163" t="e">
        <f t="shared" si="6"/>
        <v>#DIV/0!</v>
      </c>
      <c r="M20" s="134"/>
      <c r="N20" s="164" t="e">
        <f t="shared" si="2"/>
        <v>#DIV/0!</v>
      </c>
      <c r="O20" s="154"/>
      <c r="P20" s="154"/>
      <c r="Q20" s="155"/>
      <c r="R20" s="155" t="str">
        <f t="shared" si="3"/>
        <v>Iliac crest sf</v>
      </c>
      <c r="S20" s="165"/>
      <c r="T20" s="165"/>
      <c r="U20" s="180" t="e">
        <f t="shared" si="4"/>
        <v>#DIV/0!</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c r="H21" s="85"/>
      <c r="I21" s="85"/>
      <c r="J21" s="134"/>
      <c r="K21" s="162" t="e">
        <f t="shared" si="5"/>
        <v>#DIV/0!</v>
      </c>
      <c r="L21" s="163" t="e">
        <f t="shared" si="6"/>
        <v>#DIV/0!</v>
      </c>
      <c r="M21" s="134"/>
      <c r="N21" s="164" t="e">
        <f t="shared" si="2"/>
        <v>#DIV/0!</v>
      </c>
      <c r="O21" s="154"/>
      <c r="P21" s="154"/>
      <c r="Q21" s="155"/>
      <c r="R21" s="155" t="str">
        <f t="shared" si="3"/>
        <v>Supraspinale sf</v>
      </c>
      <c r="S21" s="165"/>
      <c r="T21" s="165"/>
      <c r="U21" s="180" t="e">
        <f t="shared" si="4"/>
        <v>#DIV/0!</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c r="H22" s="85"/>
      <c r="I22" s="85"/>
      <c r="J22" s="134"/>
      <c r="K22" s="162" t="e">
        <f t="shared" si="5"/>
        <v>#DIV/0!</v>
      </c>
      <c r="L22" s="163" t="e">
        <f t="shared" si="6"/>
        <v>#DIV/0!</v>
      </c>
      <c r="M22" s="134"/>
      <c r="N22" s="164" t="e">
        <f t="shared" si="2"/>
        <v>#DIV/0!</v>
      </c>
      <c r="O22" s="154"/>
      <c r="P22" s="154"/>
      <c r="Q22" s="155"/>
      <c r="R22" s="155" t="str">
        <f t="shared" si="3"/>
        <v>Abdominal sf</v>
      </c>
      <c r="S22" s="165"/>
      <c r="T22" s="165"/>
      <c r="U22" s="180" t="e">
        <f t="shared" si="4"/>
        <v>#DIV/0!</v>
      </c>
      <c r="V22" s="143" t="s">
        <v>27</v>
      </c>
      <c r="W22" s="32" t="e">
        <f>1/7.78*(+U22*((170.18/U$14)^1)-25.4)</f>
        <v>#DIV/0!</v>
      </c>
      <c r="X22" s="181"/>
      <c r="Y22" s="143"/>
      <c r="Z22" s="145"/>
      <c r="AA22" s="145"/>
    </row>
    <row r="23" spans="1:27" ht="18" customHeight="1">
      <c r="B23" s="161" t="str">
        <f>IF(Info!D34,"Thigh sf","PL Muslo")</f>
        <v>Thigh sf</v>
      </c>
      <c r="C23" s="116"/>
      <c r="D23" s="116"/>
      <c r="E23" s="122"/>
      <c r="F23" s="110"/>
      <c r="G23" s="85"/>
      <c r="H23" s="85"/>
      <c r="I23" s="85"/>
      <c r="J23" s="134"/>
      <c r="K23" s="182" t="e">
        <f t="shared" si="5"/>
        <v>#DIV/0!</v>
      </c>
      <c r="L23" s="163" t="e">
        <f t="shared" si="6"/>
        <v>#DIV/0!</v>
      </c>
      <c r="M23" s="134"/>
      <c r="N23" s="164" t="e">
        <f t="shared" si="2"/>
        <v>#DIV/0!</v>
      </c>
      <c r="O23" s="154"/>
      <c r="P23" s="154"/>
      <c r="Q23" s="155"/>
      <c r="R23" s="155" t="str">
        <f t="shared" si="3"/>
        <v>Thigh sf</v>
      </c>
      <c r="S23" s="165"/>
      <c r="T23" s="165"/>
      <c r="U23" s="180" t="e">
        <f t="shared" si="4"/>
        <v>#DIV/0!</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c r="H24" s="86"/>
      <c r="I24" s="86"/>
      <c r="J24" s="187"/>
      <c r="K24" s="182" t="e">
        <f t="shared" si="5"/>
        <v>#DIV/0!</v>
      </c>
      <c r="L24" s="188" t="e">
        <f t="shared" si="6"/>
        <v>#DIV/0!</v>
      </c>
      <c r="M24" s="187"/>
      <c r="N24" s="189" t="e">
        <f t="shared" si="2"/>
        <v>#DIV/0!</v>
      </c>
      <c r="O24" s="154"/>
      <c r="P24" s="154"/>
      <c r="Q24" s="155"/>
      <c r="R24" s="168" t="str">
        <f t="shared" si="3"/>
        <v>Calf sf</v>
      </c>
      <c r="S24" s="169"/>
      <c r="T24" s="169"/>
      <c r="U24" s="170" t="e">
        <f t="shared" si="4"/>
        <v>#DIV/0!</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c r="H25" s="85"/>
      <c r="I25" s="85"/>
      <c r="J25" s="134"/>
      <c r="K25" s="151" t="e">
        <f t="shared" si="5"/>
        <v>#DIV/0!</v>
      </c>
      <c r="L25" s="163" t="e">
        <f>IF(ABS(K25)&gt;1%,"Yes","No")</f>
        <v>#DIV/0!</v>
      </c>
      <c r="M25" s="134"/>
      <c r="N25" s="164" t="e">
        <f t="shared" si="2"/>
        <v>#DIV/0!</v>
      </c>
      <c r="O25" s="154"/>
      <c r="P25" s="154"/>
      <c r="Q25" s="155"/>
      <c r="R25" s="155" t="str">
        <f t="shared" si="3"/>
        <v>Arm girth relaxed</v>
      </c>
      <c r="S25" s="165"/>
      <c r="T25" s="165"/>
      <c r="U25" s="180" t="e">
        <f t="shared" si="4"/>
        <v>#DIV/0!</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t="e">
        <f>+U25-(PI()*U17/10)</f>
        <v>#DIV/0!</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c r="H27" s="85"/>
      <c r="I27" s="85"/>
      <c r="J27" s="134"/>
      <c r="K27" s="182" t="e">
        <f t="shared" si="5"/>
        <v>#DIV/0!</v>
      </c>
      <c r="L27" s="163" t="e">
        <f>IF(ABS(K27)&gt;1%,"Yes","No")</f>
        <v>#DIV/0!</v>
      </c>
      <c r="M27" s="134"/>
      <c r="N27" s="164" t="e">
        <f>IF(I27=0,AVERAGE(G27,H27),MEDIAN(G27,H27,I27))</f>
        <v>#DIV/0!</v>
      </c>
      <c r="O27" s="154"/>
      <c r="P27" s="154"/>
      <c r="Q27" s="155"/>
      <c r="R27" s="155" t="str">
        <f t="shared" si="3"/>
        <v>Arm girth flexed and tensed</v>
      </c>
      <c r="S27" s="165"/>
      <c r="T27" s="165"/>
      <c r="U27" s="180" t="e">
        <f>+N27</f>
        <v>#DIV/0!</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c r="H28" s="85"/>
      <c r="I28" s="85"/>
      <c r="J28" s="134"/>
      <c r="K28" s="182" t="e">
        <f t="shared" si="5"/>
        <v>#DIV/0!</v>
      </c>
      <c r="L28" s="163" t="e">
        <f>IF(ABS(K28)&gt;1%,"Yes","No")</f>
        <v>#DIV/0!</v>
      </c>
      <c r="M28" s="134"/>
      <c r="N28" s="164" t="e">
        <f>IF(I28=0,AVERAGE(G28,H28),MEDIAN(G28,H28,I28))</f>
        <v>#DIV/0!</v>
      </c>
      <c r="O28" s="154"/>
      <c r="P28" s="154"/>
      <c r="Q28" s="155"/>
      <c r="R28" s="155" t="str">
        <f t="shared" si="3"/>
        <v>Waist girth</v>
      </c>
      <c r="S28" s="165"/>
      <c r="T28" s="165"/>
      <c r="U28" s="180" t="e">
        <f>+N28</f>
        <v>#DIV/0!</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c r="H29" s="85"/>
      <c r="I29" s="85"/>
      <c r="J29" s="134"/>
      <c r="K29" s="182" t="e">
        <f t="shared" si="5"/>
        <v>#DIV/0!</v>
      </c>
      <c r="L29" s="163" t="e">
        <f>IF(ABS(K29)&gt;1%,"Yes","No")</f>
        <v>#DIV/0!</v>
      </c>
      <c r="M29" s="134"/>
      <c r="N29" s="164" t="e">
        <f>IF(I29=0,AVERAGE(G29,H29),MEDIAN(G29,H29,I29))</f>
        <v>#DIV/0!</v>
      </c>
      <c r="O29" s="154"/>
      <c r="P29" s="154"/>
      <c r="Q29" s="155"/>
      <c r="R29" s="155" t="str">
        <f t="shared" si="3"/>
        <v>Hips girth</v>
      </c>
      <c r="S29" s="165"/>
      <c r="T29" s="165"/>
      <c r="U29" s="180" t="e">
        <f>+N29</f>
        <v>#DIV/0!</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c r="H30" s="85"/>
      <c r="I30" s="85"/>
      <c r="J30" s="134"/>
      <c r="K30" s="182" t="e">
        <f>+(H30-G30)/(AVERAGE(G30:H30))</f>
        <v>#DIV/0!</v>
      </c>
      <c r="L30" s="163" t="e">
        <f>IF(ABS(K30)&gt;1%,"Yes","No")</f>
        <v>#DIV/0!</v>
      </c>
      <c r="M30" s="134"/>
      <c r="N30" s="164" t="e">
        <f>IF(I30=0,AVERAGE(G30,H30),MEDIAN(G30,H30,I30))</f>
        <v>#DIV/0!</v>
      </c>
      <c r="O30" s="154"/>
      <c r="P30" s="154"/>
      <c r="Q30" s="155"/>
      <c r="R30" s="155" t="str">
        <f t="shared" si="3"/>
        <v>Thigh middle girth</v>
      </c>
      <c r="S30" s="165"/>
      <c r="T30" s="165"/>
      <c r="U30" s="180" t="e">
        <f>+N30</f>
        <v>#DIV/0!</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t="e">
        <f>+U30-(PI()*U23/10)</f>
        <v>#DIV/0!</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c r="H32" s="85"/>
      <c r="I32" s="85"/>
      <c r="J32" s="134"/>
      <c r="K32" s="182" t="e">
        <f t="shared" si="5"/>
        <v>#DIV/0!</v>
      </c>
      <c r="L32" s="163" t="e">
        <f>IF(ABS(K32)&gt;1%,"Yes","No")</f>
        <v>#DIV/0!</v>
      </c>
      <c r="M32" s="134"/>
      <c r="N32" s="164" t="e">
        <f>IF(I32=0,AVERAGE(G32,H32),MEDIAN(G32,H32,I32))</f>
        <v>#DIV/0!</v>
      </c>
      <c r="O32" s="154"/>
      <c r="P32" s="154"/>
      <c r="Q32" s="155"/>
      <c r="R32" s="155" t="str">
        <f t="shared" si="3"/>
        <v>Calf girth</v>
      </c>
      <c r="S32" s="165"/>
      <c r="T32" s="165"/>
      <c r="U32" s="201" t="e">
        <f>+N32</f>
        <v>#DIV/0!</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t="e">
        <f>+U32-(PI()*U24/10)</f>
        <v>#DIV/0!</v>
      </c>
      <c r="V33" s="173" t="s">
        <v>26</v>
      </c>
      <c r="W33" s="33" t="e">
        <f>1/1.97*(+U33*((170.18/U$14)^1)-30.22)</f>
        <v>#DIV/0!</v>
      </c>
      <c r="X33" s="172"/>
      <c r="Y33" s="173"/>
      <c r="Z33" s="174"/>
      <c r="AA33" s="145"/>
    </row>
    <row r="34" spans="1:27" ht="18" customHeight="1" thickBot="1">
      <c r="B34" s="161" t="str">
        <f>IF(Info!D34,"Humerus breadth","D Húmero")</f>
        <v>Humerus breadth</v>
      </c>
      <c r="C34" s="116"/>
      <c r="D34" s="116"/>
      <c r="E34" s="122"/>
      <c r="F34" s="110"/>
      <c r="G34" s="87"/>
      <c r="H34" s="87"/>
      <c r="I34" s="87"/>
      <c r="J34" s="134"/>
      <c r="K34" s="151"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51"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1</v>
      </c>
      <c r="F40" s="223">
        <f>IF(H13=I13,1,0)</f>
        <v>1</v>
      </c>
      <c r="G40" s="223">
        <f>IF(I13="",0,1)</f>
        <v>0</v>
      </c>
      <c r="H40" s="222" t="e">
        <f>IF(L13="Yes",1,0)</f>
        <v>#DIV/0!</v>
      </c>
      <c r="I40" s="224">
        <f>COUNTIF(G13,"")</f>
        <v>1</v>
      </c>
      <c r="J40" s="224">
        <f>COUNTIF(H13,"")</f>
        <v>1</v>
      </c>
      <c r="K40" s="224"/>
      <c r="L40" s="225"/>
      <c r="M40" s="225"/>
      <c r="N40" s="224"/>
      <c r="Q40" s="113"/>
      <c r="R40" s="113"/>
      <c r="S40" s="226" t="str">
        <f>'3'!S40</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1</v>
      </c>
      <c r="F41" s="223">
        <f t="shared" ref="F41:F62" si="10">IF(H14=I14,1,0)</f>
        <v>1</v>
      </c>
      <c r="G41" s="223">
        <f t="shared" ref="G41:G62" si="11">IF(I14="",0,1)</f>
        <v>0</v>
      </c>
      <c r="H41" s="222" t="e">
        <f t="shared" ref="H41:H62" si="12">IF(L14="Yes",1,0)</f>
        <v>#DIV/0!</v>
      </c>
      <c r="I41" s="224">
        <f t="shared" ref="I41:J56" si="13">COUNTIF(G14,"")</f>
        <v>1</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1</v>
      </c>
      <c r="F44" s="223">
        <f t="shared" si="10"/>
        <v>1</v>
      </c>
      <c r="G44" s="223">
        <f t="shared" si="11"/>
        <v>0</v>
      </c>
      <c r="H44" s="222" t="e">
        <f t="shared" si="12"/>
        <v>#DIV/0!</v>
      </c>
      <c r="I44" s="224">
        <f t="shared" si="13"/>
        <v>1</v>
      </c>
      <c r="J44" s="224">
        <f t="shared" si="13"/>
        <v>1</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22"/>
      <c r="D45" s="223">
        <f t="shared" si="8"/>
        <v>1</v>
      </c>
      <c r="E45" s="223">
        <f t="shared" si="9"/>
        <v>1</v>
      </c>
      <c r="F45" s="223">
        <f t="shared" si="10"/>
        <v>1</v>
      </c>
      <c r="G45" s="223">
        <f t="shared" si="11"/>
        <v>0</v>
      </c>
      <c r="H45" s="222" t="e">
        <f t="shared" si="12"/>
        <v>#DIV/0!</v>
      </c>
      <c r="I45" s="224">
        <f t="shared" si="13"/>
        <v>1</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1</v>
      </c>
      <c r="F46" s="223">
        <f t="shared" si="10"/>
        <v>1</v>
      </c>
      <c r="G46" s="223">
        <f t="shared" si="11"/>
        <v>0</v>
      </c>
      <c r="H46" s="222" t="e">
        <f t="shared" si="12"/>
        <v>#DIV/0!</v>
      </c>
      <c r="I46" s="224">
        <f t="shared" si="13"/>
        <v>1</v>
      </c>
      <c r="J46" s="224">
        <f t="shared" si="13"/>
        <v>1</v>
      </c>
      <c r="K46" s="224"/>
      <c r="L46" s="225"/>
      <c r="M46" s="225"/>
      <c r="N46" s="224"/>
      <c r="O46" s="104"/>
      <c r="P46" s="104"/>
      <c r="Q46" s="113"/>
      <c r="R46" s="113"/>
      <c r="S46" s="226" t="str">
        <f>'3'!S46</f>
        <v>Waist/Hip ratio</v>
      </c>
      <c r="T46" s="124"/>
      <c r="U46" s="232" t="e">
        <f>+U28/U29</f>
        <v>#DIV/0!</v>
      </c>
      <c r="V46" s="126"/>
      <c r="W46" s="233"/>
      <c r="X46" s="201"/>
      <c r="Y46" s="126"/>
      <c r="Z46" s="115"/>
      <c r="AA46" s="115"/>
    </row>
    <row r="47" spans="1:27" s="109" customFormat="1">
      <c r="A47" s="234"/>
      <c r="B47" s="223" t="str">
        <f t="shared" si="7"/>
        <v>Iliac crest sf</v>
      </c>
      <c r="C47" s="222"/>
      <c r="D47" s="223">
        <f t="shared" si="8"/>
        <v>1</v>
      </c>
      <c r="E47" s="223">
        <f t="shared" si="9"/>
        <v>1</v>
      </c>
      <c r="F47" s="223">
        <f t="shared" si="10"/>
        <v>1</v>
      </c>
      <c r="G47" s="223">
        <f t="shared" si="11"/>
        <v>0</v>
      </c>
      <c r="H47" s="222" t="e">
        <f t="shared" si="12"/>
        <v>#DIV/0!</v>
      </c>
      <c r="I47" s="224">
        <f t="shared" si="13"/>
        <v>1</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1</v>
      </c>
      <c r="F48" s="223">
        <f t="shared" si="10"/>
        <v>1</v>
      </c>
      <c r="G48" s="223">
        <f t="shared" si="11"/>
        <v>0</v>
      </c>
      <c r="H48" s="222" t="e">
        <f t="shared" si="12"/>
        <v>#DIV/0!</v>
      </c>
      <c r="I48" s="224">
        <f t="shared" si="13"/>
        <v>1</v>
      </c>
      <c r="J48" s="224">
        <f t="shared" si="13"/>
        <v>1</v>
      </c>
      <c r="K48" s="224"/>
      <c r="L48" s="224"/>
      <c r="M48" s="224"/>
      <c r="N48" s="224"/>
      <c r="O48" s="104"/>
      <c r="P48" s="104"/>
      <c r="Q48" s="113"/>
      <c r="R48" s="113"/>
      <c r="S48" s="226" t="str">
        <f>'3'!S48</f>
        <v>Sum of 6 skinfolds</v>
      </c>
      <c r="T48" s="104"/>
      <c r="U48" s="235" t="e">
        <f>SUM(U17:U18,U21:U24)</f>
        <v>#DIV/0!</v>
      </c>
      <c r="V48" s="227" t="str">
        <f>'3'!V48</f>
        <v>mm</v>
      </c>
      <c r="W48" s="233"/>
      <c r="X48" s="201"/>
      <c r="Y48" s="126"/>
      <c r="Z48" s="115"/>
      <c r="AA48" s="115"/>
    </row>
    <row r="49" spans="1:27" s="109" customFormat="1">
      <c r="B49" s="223" t="str">
        <f t="shared" si="7"/>
        <v>Abdominal sf</v>
      </c>
      <c r="C49" s="222"/>
      <c r="D49" s="223">
        <f t="shared" si="8"/>
        <v>1</v>
      </c>
      <c r="E49" s="223">
        <f t="shared" si="9"/>
        <v>1</v>
      </c>
      <c r="F49" s="223">
        <f t="shared" si="10"/>
        <v>1</v>
      </c>
      <c r="G49" s="223">
        <f t="shared" si="11"/>
        <v>0</v>
      </c>
      <c r="H49" s="222" t="e">
        <f t="shared" si="12"/>
        <v>#DIV/0!</v>
      </c>
      <c r="I49" s="224">
        <f>COUNTIF(G22,"")</f>
        <v>1</v>
      </c>
      <c r="J49" s="224">
        <f t="shared" si="13"/>
        <v>1</v>
      </c>
      <c r="K49" s="224"/>
      <c r="L49" s="224"/>
      <c r="M49" s="224"/>
      <c r="N49" s="224"/>
      <c r="Q49" s="236"/>
      <c r="R49" s="236"/>
      <c r="S49" s="226" t="str">
        <f>'3'!S49</f>
        <v>Sum of 8 skinfolds</v>
      </c>
      <c r="T49" s="104"/>
      <c r="U49" s="235" t="e">
        <f>SUM(U17:U24)</f>
        <v>#DIV/0!</v>
      </c>
      <c r="V49" s="227" t="str">
        <f>'3'!V49</f>
        <v>mm</v>
      </c>
      <c r="W49" s="126"/>
      <c r="X49" s="232"/>
      <c r="Y49" s="126"/>
      <c r="Z49" s="115"/>
      <c r="AA49" s="115"/>
    </row>
    <row r="50" spans="1:27">
      <c r="A50" s="109"/>
      <c r="B50" s="223" t="str">
        <f t="shared" si="7"/>
        <v>Thigh sf</v>
      </c>
      <c r="C50" s="222"/>
      <c r="D50" s="223">
        <f t="shared" si="8"/>
        <v>1</v>
      </c>
      <c r="E50" s="223">
        <f t="shared" si="9"/>
        <v>1</v>
      </c>
      <c r="F50" s="223">
        <f t="shared" si="10"/>
        <v>1</v>
      </c>
      <c r="G50" s="223">
        <f t="shared" si="11"/>
        <v>0</v>
      </c>
      <c r="H50" s="222" t="e">
        <f t="shared" si="12"/>
        <v>#DIV/0!</v>
      </c>
      <c r="I50" s="224">
        <f t="shared" si="13"/>
        <v>1</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1</v>
      </c>
      <c r="F51" s="223">
        <f t="shared" si="10"/>
        <v>1</v>
      </c>
      <c r="G51" s="223">
        <f t="shared" si="11"/>
        <v>0</v>
      </c>
      <c r="H51" s="222" t="e">
        <f t="shared" si="12"/>
        <v>#DIV/0!</v>
      </c>
      <c r="I51" s="224">
        <f t="shared" si="13"/>
        <v>1</v>
      </c>
      <c r="J51" s="224">
        <f t="shared" si="13"/>
        <v>1</v>
      </c>
      <c r="K51" s="224"/>
      <c r="L51" s="224"/>
      <c r="M51" s="224"/>
      <c r="N51" s="224"/>
      <c r="Q51" s="113"/>
      <c r="R51" s="113"/>
      <c r="S51" s="226" t="str">
        <f>'3'!S51</f>
        <v>Fat percentage</v>
      </c>
      <c r="T51" s="238"/>
      <c r="U51" s="35" t="e">
        <f>IF(U8=1,0.735*(U17+U24)+1,0.61*(U17+U24)+5.1)</f>
        <v>#DIV/0!</v>
      </c>
      <c r="V51" s="227" t="str">
        <f>'3'!V51</f>
        <v>(Slaughter)</v>
      </c>
      <c r="X51" s="229"/>
      <c r="Y51" s="124"/>
      <c r="Z51" s="145"/>
      <c r="AA51" s="145"/>
    </row>
    <row r="52" spans="1:27">
      <c r="B52" s="223" t="str">
        <f t="shared" si="7"/>
        <v>Arm girth relaxed</v>
      </c>
      <c r="C52" s="222"/>
      <c r="D52" s="223">
        <f t="shared" si="8"/>
        <v>1</v>
      </c>
      <c r="E52" s="223">
        <f t="shared" si="9"/>
        <v>1</v>
      </c>
      <c r="F52" s="223">
        <f t="shared" si="10"/>
        <v>1</v>
      </c>
      <c r="G52" s="223">
        <f t="shared" si="11"/>
        <v>0</v>
      </c>
      <c r="H52" s="222" t="e">
        <f t="shared" si="12"/>
        <v>#DIV/0!</v>
      </c>
      <c r="I52" s="224">
        <f t="shared" si="13"/>
        <v>1</v>
      </c>
      <c r="J52" s="224">
        <f t="shared" si="13"/>
        <v>1</v>
      </c>
      <c r="K52" s="224"/>
      <c r="L52" s="224"/>
      <c r="M52" s="224"/>
      <c r="N52" s="224"/>
      <c r="Q52" s="113"/>
      <c r="R52" s="113"/>
      <c r="U52" s="35" t="e">
        <f>IF(U8=1,0.153*(U17+U18+U21+U22)+5.783,0.213*(U17+U18+U21+U22)+7.9)</f>
        <v>#DIV/0!</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t="e">
        <f>IF(U8=1,0.1051*(U48)+2.58,0.1548*(U48)+3.58)</f>
        <v>#DIV/0!</v>
      </c>
      <c r="V53" s="227" t="str">
        <f>'3'!V53</f>
        <v>(Carter, from Yuhasz)</v>
      </c>
      <c r="X53" s="229"/>
      <c r="Y53" s="227"/>
      <c r="Z53" s="145"/>
      <c r="AA53" s="145"/>
    </row>
    <row r="54" spans="1:27">
      <c r="B54" s="223" t="str">
        <f t="shared" si="7"/>
        <v>Arm girth flexed and tensed</v>
      </c>
      <c r="C54" s="222"/>
      <c r="D54" s="223">
        <f t="shared" si="8"/>
        <v>1</v>
      </c>
      <c r="E54" s="223">
        <f t="shared" si="9"/>
        <v>1</v>
      </c>
      <c r="F54" s="223">
        <f t="shared" si="10"/>
        <v>1</v>
      </c>
      <c r="G54" s="223">
        <f t="shared" si="11"/>
        <v>0</v>
      </c>
      <c r="H54" s="222" t="e">
        <f t="shared" si="12"/>
        <v>#DIV/0!</v>
      </c>
      <c r="I54" s="224">
        <f t="shared" si="13"/>
        <v>1</v>
      </c>
      <c r="J54" s="224">
        <f t="shared" si="13"/>
        <v>1</v>
      </c>
      <c r="K54" s="224"/>
      <c r="L54" s="224"/>
      <c r="M54" s="224"/>
      <c r="N54" s="224"/>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22"/>
      <c r="D55" s="223">
        <f t="shared" si="8"/>
        <v>1</v>
      </c>
      <c r="E55" s="223">
        <f t="shared" si="9"/>
        <v>1</v>
      </c>
      <c r="F55" s="223">
        <f t="shared" si="10"/>
        <v>1</v>
      </c>
      <c r="G55" s="223">
        <f t="shared" si="11"/>
        <v>0</v>
      </c>
      <c r="H55" s="222" t="e">
        <f t="shared" si="12"/>
        <v>#DIV/0!</v>
      </c>
      <c r="I55" s="224">
        <f t="shared" si="13"/>
        <v>1</v>
      </c>
      <c r="J55" s="224">
        <f t="shared" si="13"/>
        <v>1</v>
      </c>
      <c r="K55" s="224"/>
      <c r="L55" s="224">
        <f>COUNTIF(L13:L36,"yes")</f>
        <v>0</v>
      </c>
      <c r="M55" s="224"/>
      <c r="N55" s="224"/>
      <c r="Q55" s="113"/>
      <c r="R55" s="113"/>
      <c r="U55" s="35" t="e">
        <f>(U14/100*((0.0064*(U26^2))+(0.0032*(U31^2))+(0.0015*(U33^2)))+(2.56*IF(U8=1,1,0))+(0.136*(U10-U11)/365.25))*100/U13</f>
        <v>#DIV/0!</v>
      </c>
      <c r="V55" s="239" t="str">
        <f>'3'!V55</f>
        <v>(Poortmans)</v>
      </c>
      <c r="X55" s="240"/>
      <c r="Y55" s="227"/>
      <c r="Z55" s="145"/>
      <c r="AA55" s="145"/>
    </row>
    <row r="56" spans="1:27">
      <c r="B56" s="223" t="str">
        <f t="shared" si="7"/>
        <v>Hips girth</v>
      </c>
      <c r="C56" s="222"/>
      <c r="D56" s="223">
        <f t="shared" si="8"/>
        <v>1</v>
      </c>
      <c r="E56" s="223">
        <f t="shared" si="9"/>
        <v>1</v>
      </c>
      <c r="F56" s="223">
        <f t="shared" si="10"/>
        <v>1</v>
      </c>
      <c r="G56" s="223">
        <f t="shared" si="11"/>
        <v>0</v>
      </c>
      <c r="H56" s="222" t="e">
        <f t="shared" si="12"/>
        <v>#DIV/0!</v>
      </c>
      <c r="I56" s="224">
        <f t="shared" si="13"/>
        <v>1</v>
      </c>
      <c r="J56" s="224">
        <f t="shared" si="13"/>
        <v>1</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1</v>
      </c>
      <c r="E57" s="223">
        <f t="shared" si="9"/>
        <v>1</v>
      </c>
      <c r="F57" s="223">
        <f t="shared" si="10"/>
        <v>1</v>
      </c>
      <c r="G57" s="223">
        <f t="shared" si="11"/>
        <v>0</v>
      </c>
      <c r="H57" s="222" t="e">
        <f t="shared" si="12"/>
        <v>#DIV/0!</v>
      </c>
      <c r="I57" s="224">
        <f t="shared" ref="I57:J62" si="14">COUNTIF(G30,"")</f>
        <v>1</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1</v>
      </c>
      <c r="F59" s="223">
        <f t="shared" si="10"/>
        <v>1</v>
      </c>
      <c r="G59" s="223">
        <f t="shared" si="11"/>
        <v>0</v>
      </c>
      <c r="H59" s="222" t="e">
        <f t="shared" si="12"/>
        <v>#DIV/0!</v>
      </c>
      <c r="I59" s="224">
        <f t="shared" si="14"/>
        <v>1</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4"/>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4"/>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21</v>
      </c>
      <c r="E64" s="223">
        <f t="shared" si="15"/>
        <v>21</v>
      </c>
      <c r="F64" s="223">
        <f t="shared" si="15"/>
        <v>21</v>
      </c>
      <c r="G64" s="223">
        <f t="shared" si="15"/>
        <v>0</v>
      </c>
      <c r="H64" s="223" t="e">
        <f t="shared" si="15"/>
        <v>#DIV/0!</v>
      </c>
      <c r="I64" s="224">
        <f t="shared" si="15"/>
        <v>21</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24">
        <f>ABS(G67-H67)</f>
        <v>0</v>
      </c>
      <c r="K67" s="224">
        <f>ABS(I67-G67)</f>
        <v>0</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24">
        <f t="shared" ref="J68:J87" si="18">ABS(G68-H68)</f>
        <v>0</v>
      </c>
      <c r="K68" s="224">
        <f t="shared" ref="K68:K87" si="19">ABS(I68-G68)</f>
        <v>0</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0</v>
      </c>
      <c r="H71" s="245">
        <f t="shared" si="16"/>
        <v>0</v>
      </c>
      <c r="I71" s="245">
        <f t="shared" si="16"/>
        <v>0</v>
      </c>
      <c r="J71" s="224">
        <f t="shared" si="18"/>
        <v>0</v>
      </c>
      <c r="K71" s="224">
        <f t="shared" si="19"/>
        <v>0</v>
      </c>
      <c r="L71" s="224">
        <f t="shared" si="20"/>
        <v>0</v>
      </c>
      <c r="M71" s="246">
        <f t="shared" si="21"/>
        <v>0</v>
      </c>
      <c r="N71" s="246">
        <f t="shared" si="22"/>
        <v>0</v>
      </c>
    </row>
    <row r="72" spans="1:22" s="247" customFormat="1">
      <c r="B72" s="269" t="str">
        <f t="shared" si="17"/>
        <v>Subscapular sf</v>
      </c>
      <c r="C72" s="269"/>
      <c r="D72" s="269"/>
      <c r="E72" s="269"/>
      <c r="F72" s="269"/>
      <c r="G72" s="245">
        <f t="shared" si="16"/>
        <v>0</v>
      </c>
      <c r="H72" s="245">
        <f t="shared" si="16"/>
        <v>0</v>
      </c>
      <c r="I72" s="245">
        <f t="shared" si="16"/>
        <v>0</v>
      </c>
      <c r="J72" s="224">
        <f t="shared" si="18"/>
        <v>0</v>
      </c>
      <c r="K72" s="224">
        <f t="shared" si="19"/>
        <v>0</v>
      </c>
      <c r="L72" s="224">
        <f t="shared" si="20"/>
        <v>0</v>
      </c>
      <c r="M72" s="246">
        <f t="shared" si="21"/>
        <v>0</v>
      </c>
      <c r="N72" s="246">
        <f t="shared" si="22"/>
        <v>0</v>
      </c>
    </row>
    <row r="73" spans="1:22" s="247" customFormat="1">
      <c r="B73" s="269" t="str">
        <f t="shared" si="17"/>
        <v>Biceps sf</v>
      </c>
      <c r="C73" s="269"/>
      <c r="D73" s="269"/>
      <c r="E73" s="269"/>
      <c r="F73" s="269"/>
      <c r="G73" s="245">
        <f t="shared" si="16"/>
        <v>0</v>
      </c>
      <c r="H73" s="245">
        <f t="shared" si="16"/>
        <v>0</v>
      </c>
      <c r="I73" s="245">
        <f t="shared" si="16"/>
        <v>0</v>
      </c>
      <c r="J73" s="224">
        <f t="shared" si="18"/>
        <v>0</v>
      </c>
      <c r="K73" s="224">
        <f t="shared" si="19"/>
        <v>0</v>
      </c>
      <c r="L73" s="224">
        <f t="shared" si="20"/>
        <v>0</v>
      </c>
      <c r="M73" s="246">
        <f t="shared" si="21"/>
        <v>0</v>
      </c>
      <c r="N73" s="246">
        <f t="shared" si="22"/>
        <v>0</v>
      </c>
    </row>
    <row r="74" spans="1:22" s="247" customFormat="1">
      <c r="B74" s="269" t="str">
        <f t="shared" si="17"/>
        <v>Iliac crest sf</v>
      </c>
      <c r="C74" s="269"/>
      <c r="D74" s="269"/>
      <c r="E74" s="269"/>
      <c r="F74" s="269"/>
      <c r="G74" s="245">
        <f t="shared" si="16"/>
        <v>0</v>
      </c>
      <c r="H74" s="245">
        <f t="shared" si="16"/>
        <v>0</v>
      </c>
      <c r="I74" s="245">
        <f t="shared" si="16"/>
        <v>0</v>
      </c>
      <c r="J74" s="224">
        <f t="shared" si="18"/>
        <v>0</v>
      </c>
      <c r="K74" s="224">
        <f t="shared" si="19"/>
        <v>0</v>
      </c>
      <c r="L74" s="224">
        <f t="shared" si="20"/>
        <v>0</v>
      </c>
      <c r="M74" s="246">
        <f t="shared" si="21"/>
        <v>0</v>
      </c>
      <c r="N74" s="246">
        <f t="shared" si="22"/>
        <v>0</v>
      </c>
    </row>
    <row r="75" spans="1:22" s="247" customFormat="1">
      <c r="B75" s="269" t="str">
        <f t="shared" si="17"/>
        <v>Supraspinale sf</v>
      </c>
      <c r="C75" s="269"/>
      <c r="D75" s="269"/>
      <c r="E75" s="269"/>
      <c r="F75" s="269"/>
      <c r="G75" s="245">
        <f t="shared" si="16"/>
        <v>0</v>
      </c>
      <c r="H75" s="245">
        <f t="shared" si="16"/>
        <v>0</v>
      </c>
      <c r="I75" s="245">
        <f t="shared" si="16"/>
        <v>0</v>
      </c>
      <c r="J75" s="224">
        <f t="shared" si="18"/>
        <v>0</v>
      </c>
      <c r="K75" s="224">
        <f t="shared" si="19"/>
        <v>0</v>
      </c>
      <c r="L75" s="224">
        <f t="shared" si="20"/>
        <v>0</v>
      </c>
      <c r="M75" s="246">
        <f t="shared" si="21"/>
        <v>0</v>
      </c>
      <c r="N75" s="246">
        <f t="shared" si="22"/>
        <v>0</v>
      </c>
    </row>
    <row r="76" spans="1:22" s="247" customFormat="1">
      <c r="B76" s="269" t="str">
        <f t="shared" si="17"/>
        <v>Abdominal sf</v>
      </c>
      <c r="C76" s="269"/>
      <c r="D76" s="269"/>
      <c r="E76" s="269"/>
      <c r="F76" s="269"/>
      <c r="G76" s="245">
        <f t="shared" si="16"/>
        <v>0</v>
      </c>
      <c r="H76" s="245">
        <f t="shared" si="16"/>
        <v>0</v>
      </c>
      <c r="I76" s="245">
        <f t="shared" si="16"/>
        <v>0</v>
      </c>
      <c r="J76" s="224">
        <f t="shared" si="18"/>
        <v>0</v>
      </c>
      <c r="K76" s="224">
        <f t="shared" si="19"/>
        <v>0</v>
      </c>
      <c r="L76" s="224">
        <f t="shared" si="20"/>
        <v>0</v>
      </c>
      <c r="M76" s="246">
        <f t="shared" si="21"/>
        <v>0</v>
      </c>
      <c r="N76" s="246">
        <f t="shared" si="22"/>
        <v>0</v>
      </c>
    </row>
    <row r="77" spans="1:22" s="247" customFormat="1">
      <c r="A77" s="244"/>
      <c r="B77" s="269" t="str">
        <f t="shared" si="17"/>
        <v>Thigh sf</v>
      </c>
      <c r="C77" s="269"/>
      <c r="D77" s="269"/>
      <c r="E77" s="269"/>
      <c r="F77" s="269"/>
      <c r="G77" s="245">
        <f t="shared" si="16"/>
        <v>0</v>
      </c>
      <c r="H77" s="245">
        <f t="shared" si="16"/>
        <v>0</v>
      </c>
      <c r="I77" s="245">
        <f t="shared" si="16"/>
        <v>0</v>
      </c>
      <c r="J77" s="224">
        <f t="shared" si="18"/>
        <v>0</v>
      </c>
      <c r="K77" s="224">
        <f t="shared" si="19"/>
        <v>0</v>
      </c>
      <c r="L77" s="224">
        <f t="shared" si="20"/>
        <v>0</v>
      </c>
      <c r="M77" s="246">
        <f t="shared" si="21"/>
        <v>0</v>
      </c>
      <c r="N77" s="246">
        <f t="shared" si="22"/>
        <v>0</v>
      </c>
    </row>
    <row r="78" spans="1:22" s="247" customFormat="1">
      <c r="B78" s="269" t="str">
        <f t="shared" si="17"/>
        <v>Calf sf</v>
      </c>
      <c r="C78" s="269"/>
      <c r="D78" s="269"/>
      <c r="E78" s="269"/>
      <c r="F78" s="269"/>
      <c r="G78" s="245">
        <f t="shared" si="16"/>
        <v>0</v>
      </c>
      <c r="H78" s="245">
        <f t="shared" si="16"/>
        <v>0</v>
      </c>
      <c r="I78" s="245">
        <f t="shared" si="16"/>
        <v>0</v>
      </c>
      <c r="J78" s="224">
        <f t="shared" si="18"/>
        <v>0</v>
      </c>
      <c r="K78" s="224">
        <f t="shared" si="19"/>
        <v>0</v>
      </c>
      <c r="L78" s="224">
        <f t="shared" si="20"/>
        <v>0</v>
      </c>
      <c r="M78" s="246">
        <f t="shared" si="21"/>
        <v>0</v>
      </c>
      <c r="N78" s="246">
        <f t="shared" si="22"/>
        <v>0</v>
      </c>
    </row>
    <row r="79" spans="1:22" s="247" customFormat="1">
      <c r="B79" s="269" t="str">
        <f t="shared" si="17"/>
        <v>Arm girth relaxed</v>
      </c>
      <c r="C79" s="269"/>
      <c r="D79" s="269"/>
      <c r="E79" s="269"/>
      <c r="F79" s="269"/>
      <c r="G79" s="245">
        <f t="shared" si="16"/>
        <v>0</v>
      </c>
      <c r="H79" s="245">
        <f t="shared" si="16"/>
        <v>0</v>
      </c>
      <c r="I79" s="245">
        <f t="shared" si="16"/>
        <v>0</v>
      </c>
      <c r="J79" s="224">
        <f t="shared" si="18"/>
        <v>0</v>
      </c>
      <c r="K79" s="224">
        <f t="shared" si="19"/>
        <v>0</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0</v>
      </c>
      <c r="H80" s="245">
        <f t="shared" si="23"/>
        <v>0</v>
      </c>
      <c r="I80" s="245">
        <f t="shared" si="23"/>
        <v>0</v>
      </c>
      <c r="J80" s="224">
        <f t="shared" si="18"/>
        <v>0</v>
      </c>
      <c r="K80" s="224">
        <f t="shared" si="19"/>
        <v>0</v>
      </c>
      <c r="L80" s="224">
        <f t="shared" si="20"/>
        <v>0</v>
      </c>
      <c r="M80" s="246">
        <f t="shared" si="21"/>
        <v>0</v>
      </c>
      <c r="N80" s="246">
        <f t="shared" si="22"/>
        <v>0</v>
      </c>
    </row>
    <row r="81" spans="1:14" s="247" customFormat="1">
      <c r="B81" s="269" t="str">
        <f>B28</f>
        <v>Waist girth</v>
      </c>
      <c r="C81" s="269"/>
      <c r="D81" s="269"/>
      <c r="E81" s="269"/>
      <c r="F81" s="269"/>
      <c r="G81" s="245">
        <f t="shared" si="23"/>
        <v>0</v>
      </c>
      <c r="H81" s="245">
        <f t="shared" si="23"/>
        <v>0</v>
      </c>
      <c r="I81" s="245">
        <f t="shared" si="23"/>
        <v>0</v>
      </c>
      <c r="J81" s="224">
        <f t="shared" si="18"/>
        <v>0</v>
      </c>
      <c r="K81" s="224">
        <f t="shared" si="19"/>
        <v>0</v>
      </c>
      <c r="L81" s="224">
        <f t="shared" si="20"/>
        <v>0</v>
      </c>
      <c r="M81" s="246">
        <f t="shared" si="21"/>
        <v>0</v>
      </c>
      <c r="N81" s="246">
        <f t="shared" si="22"/>
        <v>0</v>
      </c>
    </row>
    <row r="82" spans="1:14" s="247" customFormat="1">
      <c r="B82" s="269" t="str">
        <f>B29</f>
        <v>Hips girth</v>
      </c>
      <c r="C82" s="269"/>
      <c r="D82" s="269"/>
      <c r="E82" s="269"/>
      <c r="F82" s="269"/>
      <c r="G82" s="245">
        <f t="shared" si="23"/>
        <v>0</v>
      </c>
      <c r="H82" s="245">
        <f t="shared" si="23"/>
        <v>0</v>
      </c>
      <c r="I82" s="245">
        <f t="shared" si="23"/>
        <v>0</v>
      </c>
      <c r="J82" s="224">
        <f t="shared" si="18"/>
        <v>0</v>
      </c>
      <c r="K82" s="224">
        <f t="shared" si="19"/>
        <v>0</v>
      </c>
      <c r="L82" s="224">
        <f t="shared" si="20"/>
        <v>0</v>
      </c>
      <c r="M82" s="246">
        <f t="shared" si="21"/>
        <v>0</v>
      </c>
      <c r="N82" s="246">
        <f t="shared" si="22"/>
        <v>0</v>
      </c>
    </row>
    <row r="83" spans="1:14">
      <c r="A83" s="247"/>
      <c r="B83" s="269" t="str">
        <f>B30</f>
        <v>Thigh middle girth</v>
      </c>
      <c r="C83" s="269"/>
      <c r="D83" s="269"/>
      <c r="E83" s="269"/>
      <c r="F83" s="269"/>
      <c r="G83" s="245">
        <f t="shared" si="23"/>
        <v>0</v>
      </c>
      <c r="H83" s="245">
        <f t="shared" si="23"/>
        <v>0</v>
      </c>
      <c r="I83" s="245">
        <f t="shared" si="23"/>
        <v>0</v>
      </c>
      <c r="J83" s="224">
        <f t="shared" si="18"/>
        <v>0</v>
      </c>
      <c r="K83" s="224">
        <f t="shared" si="19"/>
        <v>0</v>
      </c>
      <c r="L83" s="224">
        <f t="shared" si="20"/>
        <v>0</v>
      </c>
      <c r="M83" s="246">
        <f t="shared" si="21"/>
        <v>0</v>
      </c>
      <c r="N83" s="246">
        <f t="shared" si="22"/>
        <v>0</v>
      </c>
    </row>
    <row r="84" spans="1:14">
      <c r="B84" s="269" t="str">
        <f>B32</f>
        <v>Calf girth</v>
      </c>
      <c r="C84" s="269"/>
      <c r="D84" s="269"/>
      <c r="E84" s="269"/>
      <c r="F84" s="269"/>
      <c r="G84" s="245">
        <f>+G32</f>
        <v>0</v>
      </c>
      <c r="H84" s="245">
        <f>+H32</f>
        <v>0</v>
      </c>
      <c r="I84" s="245">
        <f>+I32</f>
        <v>0</v>
      </c>
      <c r="J84" s="224">
        <f t="shared" si="18"/>
        <v>0</v>
      </c>
      <c r="K84" s="224">
        <f t="shared" si="19"/>
        <v>0</v>
      </c>
      <c r="L84" s="224">
        <f t="shared" si="20"/>
        <v>0</v>
      </c>
      <c r="M84" s="246">
        <f t="shared" si="21"/>
        <v>0</v>
      </c>
      <c r="N84" s="246">
        <f t="shared" si="22"/>
        <v>0</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ov6sGdB20i5A9j5mPurPrb7FCJBzAdTPzZ5rPtbBgvCDxVLPSe/y87pcNgS0uxHFVL2kmxwiYWCsqg0Hocvbjg==" saltValue="ZIWN5cvYBoan1cwPPt9pL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91"/>
  <sheetViews>
    <sheetView topLeftCell="A10" zoomScale="68" zoomScaleNormal="68" zoomScaleSheetLayoutView="75" workbookViewId="0">
      <selection activeCell="G35" sqref="G35"/>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c r="H8" s="74"/>
      <c r="I8" s="77"/>
      <c r="J8" s="129"/>
      <c r="K8" s="129"/>
      <c r="L8" s="129"/>
      <c r="M8" s="129"/>
      <c r="N8" s="123"/>
      <c r="O8" s="104"/>
      <c r="P8" s="104"/>
      <c r="Q8" s="113"/>
      <c r="R8" s="113" t="str">
        <f t="shared" si="0"/>
        <v>Sex (male=1, female=2)</v>
      </c>
      <c r="S8" s="124"/>
      <c r="T8" s="124"/>
      <c r="U8" s="125">
        <f t="shared" si="1"/>
        <v>0</v>
      </c>
      <c r="V8" s="126"/>
      <c r="W8" s="126"/>
      <c r="X8" s="127"/>
      <c r="Y8" s="126"/>
      <c r="Z8" s="115"/>
      <c r="AA8" s="115"/>
    </row>
    <row r="9" spans="1:27" s="109" customFormat="1" ht="24" customHeight="1">
      <c r="B9" s="116" t="str">
        <f>IF(Info!D34,"Sport","Deporte")</f>
        <v>Sport</v>
      </c>
      <c r="C9" s="116"/>
      <c r="D9" s="116"/>
      <c r="E9" s="110"/>
      <c r="F9" s="111"/>
      <c r="G9" s="258"/>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c r="H10" s="76"/>
      <c r="I10" s="76"/>
      <c r="J10" s="111"/>
      <c r="K10" s="111"/>
      <c r="L10" s="111"/>
      <c r="M10" s="111"/>
      <c r="N10" s="122"/>
      <c r="O10" s="104"/>
      <c r="P10" s="104"/>
      <c r="Q10" s="113"/>
      <c r="R10" s="113" t="str">
        <f t="shared" si="0"/>
        <v>Date of Measurement</v>
      </c>
      <c r="S10" s="124"/>
      <c r="T10" s="124"/>
      <c r="U10" s="131">
        <f t="shared" si="1"/>
        <v>0</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66" t="e">
        <f t="shared" si="4"/>
        <v>#DIV/0!</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c r="H17" s="84"/>
      <c r="I17" s="84"/>
      <c r="J17" s="150"/>
      <c r="K17" s="151" t="e">
        <f t="shared" si="5"/>
        <v>#DIV/0!</v>
      </c>
      <c r="L17" s="152" t="e">
        <f t="shared" ref="L17:L24" si="6">IF(ABS(K17)&gt;5%,"Yes","No")</f>
        <v>#DIV/0!</v>
      </c>
      <c r="M17" s="150"/>
      <c r="N17" s="153" t="e">
        <f t="shared" si="2"/>
        <v>#DIV/0!</v>
      </c>
      <c r="O17" s="154"/>
      <c r="P17" s="154"/>
      <c r="Q17" s="155"/>
      <c r="R17" s="156" t="str">
        <f t="shared" si="3"/>
        <v>Triceps sf</v>
      </c>
      <c r="S17" s="157"/>
      <c r="T17" s="157"/>
      <c r="U17" s="175" t="e">
        <f t="shared" si="4"/>
        <v>#DIV/0!</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c r="H18" s="85"/>
      <c r="I18" s="85"/>
      <c r="J18" s="134"/>
      <c r="K18" s="162" t="e">
        <f t="shared" si="5"/>
        <v>#DIV/0!</v>
      </c>
      <c r="L18" s="163" t="e">
        <f t="shared" si="6"/>
        <v>#DIV/0!</v>
      </c>
      <c r="M18" s="134"/>
      <c r="N18" s="164" t="e">
        <f t="shared" si="2"/>
        <v>#DIV/0!</v>
      </c>
      <c r="O18" s="154"/>
      <c r="P18" s="154"/>
      <c r="Q18" s="155"/>
      <c r="R18" s="155" t="str">
        <f t="shared" si="3"/>
        <v>Subscapular sf</v>
      </c>
      <c r="S18" s="165"/>
      <c r="T18" s="165"/>
      <c r="U18" s="180" t="e">
        <f t="shared" si="4"/>
        <v>#DIV/0!</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c r="H19" s="85"/>
      <c r="I19" s="85"/>
      <c r="J19" s="134"/>
      <c r="K19" s="182" t="e">
        <f t="shared" si="5"/>
        <v>#DIV/0!</v>
      </c>
      <c r="L19" s="163" t="e">
        <f t="shared" si="6"/>
        <v>#DIV/0!</v>
      </c>
      <c r="M19" s="134"/>
      <c r="N19" s="164" t="e">
        <f t="shared" si="2"/>
        <v>#DIV/0!</v>
      </c>
      <c r="O19" s="154"/>
      <c r="P19" s="154"/>
      <c r="Q19" s="155"/>
      <c r="R19" s="155" t="str">
        <f t="shared" si="3"/>
        <v>Biceps sf</v>
      </c>
      <c r="S19" s="165"/>
      <c r="T19" s="165"/>
      <c r="U19" s="180" t="e">
        <f t="shared" si="4"/>
        <v>#DIV/0!</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c r="H20" s="85"/>
      <c r="I20" s="85"/>
      <c r="J20" s="134"/>
      <c r="K20" s="182" t="e">
        <f t="shared" si="5"/>
        <v>#DIV/0!</v>
      </c>
      <c r="L20" s="163" t="e">
        <f t="shared" si="6"/>
        <v>#DIV/0!</v>
      </c>
      <c r="M20" s="134"/>
      <c r="N20" s="164" t="e">
        <f t="shared" si="2"/>
        <v>#DIV/0!</v>
      </c>
      <c r="O20" s="154"/>
      <c r="P20" s="154"/>
      <c r="Q20" s="155"/>
      <c r="R20" s="155" t="str">
        <f t="shared" si="3"/>
        <v>Iliac crest sf</v>
      </c>
      <c r="S20" s="165"/>
      <c r="T20" s="165"/>
      <c r="U20" s="180" t="e">
        <f t="shared" si="4"/>
        <v>#DIV/0!</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c r="H21" s="85"/>
      <c r="I21" s="85"/>
      <c r="J21" s="134"/>
      <c r="K21" s="162" t="e">
        <f t="shared" si="5"/>
        <v>#DIV/0!</v>
      </c>
      <c r="L21" s="163" t="e">
        <f t="shared" si="6"/>
        <v>#DIV/0!</v>
      </c>
      <c r="M21" s="134"/>
      <c r="N21" s="164" t="e">
        <f t="shared" si="2"/>
        <v>#DIV/0!</v>
      </c>
      <c r="O21" s="154"/>
      <c r="P21" s="154"/>
      <c r="Q21" s="155"/>
      <c r="R21" s="155" t="str">
        <f t="shared" si="3"/>
        <v>Supraspinale sf</v>
      </c>
      <c r="S21" s="165"/>
      <c r="T21" s="165"/>
      <c r="U21" s="180" t="e">
        <f t="shared" si="4"/>
        <v>#DIV/0!</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c r="H22" s="85"/>
      <c r="I22" s="85"/>
      <c r="J22" s="134"/>
      <c r="K22" s="162" t="e">
        <f t="shared" si="5"/>
        <v>#DIV/0!</v>
      </c>
      <c r="L22" s="163" t="e">
        <f t="shared" si="6"/>
        <v>#DIV/0!</v>
      </c>
      <c r="M22" s="134"/>
      <c r="N22" s="164" t="e">
        <f t="shared" si="2"/>
        <v>#DIV/0!</v>
      </c>
      <c r="O22" s="154"/>
      <c r="P22" s="154"/>
      <c r="Q22" s="155"/>
      <c r="R22" s="155" t="str">
        <f t="shared" si="3"/>
        <v>Abdominal sf</v>
      </c>
      <c r="S22" s="165"/>
      <c r="T22" s="165"/>
      <c r="U22" s="180" t="e">
        <f t="shared" si="4"/>
        <v>#DIV/0!</v>
      </c>
      <c r="V22" s="143" t="s">
        <v>27</v>
      </c>
      <c r="W22" s="32" t="e">
        <f>1/7.78*(+U22*((170.18/U$14)^1)-25.4)</f>
        <v>#DIV/0!</v>
      </c>
      <c r="X22" s="181"/>
      <c r="Y22" s="143"/>
      <c r="Z22" s="145"/>
      <c r="AA22" s="145"/>
    </row>
    <row r="23" spans="1:27" ht="18" customHeight="1">
      <c r="B23" s="161" t="str">
        <f>IF(Info!D34,"Thigh sf","PL Muslo")</f>
        <v>Thigh sf</v>
      </c>
      <c r="C23" s="116"/>
      <c r="D23" s="116"/>
      <c r="E23" s="122"/>
      <c r="F23" s="110"/>
      <c r="G23" s="85"/>
      <c r="H23" s="85"/>
      <c r="I23" s="85"/>
      <c r="J23" s="134"/>
      <c r="K23" s="182" t="e">
        <f t="shared" si="5"/>
        <v>#DIV/0!</v>
      </c>
      <c r="L23" s="163" t="e">
        <f t="shared" si="6"/>
        <v>#DIV/0!</v>
      </c>
      <c r="M23" s="134"/>
      <c r="N23" s="164" t="e">
        <f t="shared" si="2"/>
        <v>#DIV/0!</v>
      </c>
      <c r="O23" s="154"/>
      <c r="P23" s="154"/>
      <c r="Q23" s="155"/>
      <c r="R23" s="155" t="str">
        <f t="shared" si="3"/>
        <v>Thigh sf</v>
      </c>
      <c r="S23" s="165"/>
      <c r="T23" s="165"/>
      <c r="U23" s="180" t="e">
        <f t="shared" si="4"/>
        <v>#DIV/0!</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c r="H24" s="86"/>
      <c r="I24" s="86"/>
      <c r="J24" s="187"/>
      <c r="K24" s="182" t="e">
        <f t="shared" si="5"/>
        <v>#DIV/0!</v>
      </c>
      <c r="L24" s="188" t="e">
        <f t="shared" si="6"/>
        <v>#DIV/0!</v>
      </c>
      <c r="M24" s="187"/>
      <c r="N24" s="189" t="e">
        <f t="shared" si="2"/>
        <v>#DIV/0!</v>
      </c>
      <c r="O24" s="154"/>
      <c r="P24" s="154"/>
      <c r="Q24" s="155"/>
      <c r="R24" s="168" t="str">
        <f t="shared" si="3"/>
        <v>Calf sf</v>
      </c>
      <c r="S24" s="169"/>
      <c r="T24" s="169"/>
      <c r="U24" s="170" t="e">
        <f t="shared" si="4"/>
        <v>#DIV/0!</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c r="H25" s="85"/>
      <c r="I25" s="85"/>
      <c r="J25" s="134"/>
      <c r="K25" s="151" t="e">
        <f t="shared" si="5"/>
        <v>#DIV/0!</v>
      </c>
      <c r="L25" s="163" t="e">
        <f>IF(ABS(K25)&gt;1%,"Yes","No")</f>
        <v>#DIV/0!</v>
      </c>
      <c r="M25" s="134"/>
      <c r="N25" s="164" t="e">
        <f t="shared" si="2"/>
        <v>#DIV/0!</v>
      </c>
      <c r="O25" s="154"/>
      <c r="P25" s="154"/>
      <c r="Q25" s="155"/>
      <c r="R25" s="155" t="str">
        <f t="shared" si="3"/>
        <v>Arm girth relaxed</v>
      </c>
      <c r="S25" s="165"/>
      <c r="T25" s="165"/>
      <c r="U25" s="180" t="e">
        <f t="shared" si="4"/>
        <v>#DIV/0!</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t="e">
        <f>+U25-(PI()*U17/10)</f>
        <v>#DIV/0!</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c r="H27" s="85"/>
      <c r="I27" s="85"/>
      <c r="J27" s="134"/>
      <c r="K27" s="182" t="e">
        <f t="shared" si="5"/>
        <v>#DIV/0!</v>
      </c>
      <c r="L27" s="163" t="e">
        <f>IF(ABS(K27)&gt;1%,"Yes","No")</f>
        <v>#DIV/0!</v>
      </c>
      <c r="M27" s="134"/>
      <c r="N27" s="164" t="e">
        <f>IF(I27=0,AVERAGE(G27,H27),MEDIAN(G27,H27,I27))</f>
        <v>#DIV/0!</v>
      </c>
      <c r="O27" s="154"/>
      <c r="P27" s="154"/>
      <c r="Q27" s="155"/>
      <c r="R27" s="155" t="str">
        <f t="shared" si="3"/>
        <v>Arm girth flexed and tensed</v>
      </c>
      <c r="S27" s="165"/>
      <c r="T27" s="165"/>
      <c r="U27" s="180" t="e">
        <f>+N27</f>
        <v>#DIV/0!</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c r="H28" s="85"/>
      <c r="I28" s="85"/>
      <c r="J28" s="134"/>
      <c r="K28" s="182" t="e">
        <f t="shared" si="5"/>
        <v>#DIV/0!</v>
      </c>
      <c r="L28" s="163" t="e">
        <f>IF(ABS(K28)&gt;1%,"Yes","No")</f>
        <v>#DIV/0!</v>
      </c>
      <c r="M28" s="134"/>
      <c r="N28" s="164" t="e">
        <f>IF(I28=0,AVERAGE(G28,H28),MEDIAN(G28,H28,I28))</f>
        <v>#DIV/0!</v>
      </c>
      <c r="O28" s="154"/>
      <c r="P28" s="154"/>
      <c r="Q28" s="155"/>
      <c r="R28" s="155" t="str">
        <f t="shared" si="3"/>
        <v>Waist girth</v>
      </c>
      <c r="S28" s="165"/>
      <c r="T28" s="165"/>
      <c r="U28" s="180" t="e">
        <f>+N28</f>
        <v>#DIV/0!</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c r="H29" s="85"/>
      <c r="I29" s="85"/>
      <c r="J29" s="134"/>
      <c r="K29" s="182" t="e">
        <f t="shared" si="5"/>
        <v>#DIV/0!</v>
      </c>
      <c r="L29" s="163" t="e">
        <f>IF(ABS(K29)&gt;1%,"Yes","No")</f>
        <v>#DIV/0!</v>
      </c>
      <c r="M29" s="134"/>
      <c r="N29" s="164" t="e">
        <f>IF(I29=0,AVERAGE(G29,H29),MEDIAN(G29,H29,I29))</f>
        <v>#DIV/0!</v>
      </c>
      <c r="O29" s="154"/>
      <c r="P29" s="154"/>
      <c r="Q29" s="155"/>
      <c r="R29" s="155" t="str">
        <f t="shared" si="3"/>
        <v>Hips girth</v>
      </c>
      <c r="S29" s="165"/>
      <c r="T29" s="165"/>
      <c r="U29" s="180" t="e">
        <f>+N29</f>
        <v>#DIV/0!</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c r="H30" s="85"/>
      <c r="I30" s="85"/>
      <c r="J30" s="134"/>
      <c r="K30" s="182" t="e">
        <f>+(H30-G30)/(AVERAGE(G30:H30))</f>
        <v>#DIV/0!</v>
      </c>
      <c r="L30" s="163" t="e">
        <f>IF(ABS(K30)&gt;1%,"Yes","No")</f>
        <v>#DIV/0!</v>
      </c>
      <c r="M30" s="134"/>
      <c r="N30" s="164" t="e">
        <f>IF(I30=0,AVERAGE(G30,H30),MEDIAN(G30,H30,I30))</f>
        <v>#DIV/0!</v>
      </c>
      <c r="O30" s="154"/>
      <c r="P30" s="154"/>
      <c r="Q30" s="155"/>
      <c r="R30" s="155" t="str">
        <f t="shared" si="3"/>
        <v>Thigh middle girth</v>
      </c>
      <c r="S30" s="165"/>
      <c r="T30" s="165"/>
      <c r="U30" s="180" t="e">
        <f>+N30</f>
        <v>#DIV/0!</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t="e">
        <f>+U30-(PI()*U23/10)</f>
        <v>#DIV/0!</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c r="H32" s="85"/>
      <c r="I32" s="85"/>
      <c r="J32" s="134"/>
      <c r="K32" s="182" t="e">
        <f t="shared" si="5"/>
        <v>#DIV/0!</v>
      </c>
      <c r="L32" s="163" t="e">
        <f>IF(ABS(K32)&gt;1%,"Yes","No")</f>
        <v>#DIV/0!</v>
      </c>
      <c r="M32" s="134"/>
      <c r="N32" s="164" t="e">
        <f>IF(I32=0,AVERAGE(G32,H32),MEDIAN(G32,H32,I32))</f>
        <v>#DIV/0!</v>
      </c>
      <c r="O32" s="154"/>
      <c r="P32" s="154"/>
      <c r="Q32" s="155"/>
      <c r="R32" s="155" t="str">
        <f t="shared" si="3"/>
        <v>Calf girth</v>
      </c>
      <c r="S32" s="165"/>
      <c r="T32" s="165"/>
      <c r="U32" s="201" t="e">
        <f>+N32</f>
        <v>#DIV/0!</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t="e">
        <f>+U32-(PI()*U24/10)</f>
        <v>#DIV/0!</v>
      </c>
      <c r="V33" s="173" t="s">
        <v>26</v>
      </c>
      <c r="W33" s="33" t="e">
        <f>1/1.97*(+U33*((170.18/U$14)^1)-30.22)</f>
        <v>#DIV/0!</v>
      </c>
      <c r="X33" s="172"/>
      <c r="Y33" s="173"/>
      <c r="Z33" s="174"/>
      <c r="AA33" s="145"/>
    </row>
    <row r="34" spans="1:27" ht="18" customHeight="1" thickBot="1">
      <c r="B34" s="161" t="str">
        <f>IF(Info!D34,"Humerus breadth","D Húmero")</f>
        <v>Humerus breadth</v>
      </c>
      <c r="C34" s="116"/>
      <c r="D34" s="116"/>
      <c r="E34" s="122"/>
      <c r="F34" s="110"/>
      <c r="G34" s="87"/>
      <c r="H34" s="87"/>
      <c r="I34" s="87"/>
      <c r="J34" s="134"/>
      <c r="K34" s="151"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51"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1</v>
      </c>
      <c r="F40" s="223">
        <f>IF(H13=I13,1,0)</f>
        <v>1</v>
      </c>
      <c r="G40" s="223">
        <f>IF(I13="",0,1)</f>
        <v>0</v>
      </c>
      <c r="H40" s="222" t="e">
        <f>IF(L13="Yes",1,0)</f>
        <v>#DIV/0!</v>
      </c>
      <c r="I40" s="224">
        <f>COUNTIF(G13,"")</f>
        <v>1</v>
      </c>
      <c r="J40" s="224">
        <f>COUNTIF(H13,"")</f>
        <v>1</v>
      </c>
      <c r="K40" s="224"/>
      <c r="L40" s="225"/>
      <c r="M40" s="225"/>
      <c r="N40" s="224"/>
      <c r="Q40" s="113"/>
      <c r="R40" s="113"/>
      <c r="S40" s="226" t="str">
        <f>'3'!S40</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1</v>
      </c>
      <c r="F41" s="223">
        <f t="shared" ref="F41:F62" si="10">IF(H14=I14,1,0)</f>
        <v>1</v>
      </c>
      <c r="G41" s="223">
        <f t="shared" ref="G41:G62" si="11">IF(I14="",0,1)</f>
        <v>0</v>
      </c>
      <c r="H41" s="222" t="e">
        <f t="shared" ref="H41:H62" si="12">IF(L14="Yes",1,0)</f>
        <v>#DIV/0!</v>
      </c>
      <c r="I41" s="224">
        <f t="shared" ref="I41:J56" si="13">COUNTIF(G14,"")</f>
        <v>1</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1</v>
      </c>
      <c r="F44" s="223">
        <f t="shared" si="10"/>
        <v>1</v>
      </c>
      <c r="G44" s="223">
        <f t="shared" si="11"/>
        <v>0</v>
      </c>
      <c r="H44" s="222" t="e">
        <f t="shared" si="12"/>
        <v>#DIV/0!</v>
      </c>
      <c r="I44" s="224">
        <f t="shared" si="13"/>
        <v>1</v>
      </c>
      <c r="J44" s="224">
        <f t="shared" si="13"/>
        <v>1</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22"/>
      <c r="D45" s="223">
        <f t="shared" si="8"/>
        <v>1</v>
      </c>
      <c r="E45" s="223">
        <f t="shared" si="9"/>
        <v>1</v>
      </c>
      <c r="F45" s="223">
        <f t="shared" si="10"/>
        <v>1</v>
      </c>
      <c r="G45" s="223">
        <f t="shared" si="11"/>
        <v>0</v>
      </c>
      <c r="H45" s="222" t="e">
        <f t="shared" si="12"/>
        <v>#DIV/0!</v>
      </c>
      <c r="I45" s="224">
        <f t="shared" si="13"/>
        <v>1</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1</v>
      </c>
      <c r="F46" s="223">
        <f t="shared" si="10"/>
        <v>1</v>
      </c>
      <c r="G46" s="223">
        <f t="shared" si="11"/>
        <v>0</v>
      </c>
      <c r="H46" s="222" t="e">
        <f t="shared" si="12"/>
        <v>#DIV/0!</v>
      </c>
      <c r="I46" s="224">
        <f t="shared" si="13"/>
        <v>1</v>
      </c>
      <c r="J46" s="224">
        <f t="shared" si="13"/>
        <v>1</v>
      </c>
      <c r="K46" s="224"/>
      <c r="L46" s="225"/>
      <c r="M46" s="225"/>
      <c r="N46" s="224"/>
      <c r="O46" s="104"/>
      <c r="P46" s="104"/>
      <c r="Q46" s="113"/>
      <c r="R46" s="113"/>
      <c r="S46" s="226" t="str">
        <f>'3'!S46</f>
        <v>Waist/Hip ratio</v>
      </c>
      <c r="T46" s="124"/>
      <c r="U46" s="232" t="e">
        <f>+U28/U29</f>
        <v>#DIV/0!</v>
      </c>
      <c r="V46" s="126"/>
      <c r="W46" s="233"/>
      <c r="X46" s="201"/>
      <c r="Y46" s="126"/>
      <c r="Z46" s="115"/>
      <c r="AA46" s="115"/>
    </row>
    <row r="47" spans="1:27" s="109" customFormat="1">
      <c r="A47" s="234"/>
      <c r="B47" s="223" t="str">
        <f t="shared" si="7"/>
        <v>Iliac crest sf</v>
      </c>
      <c r="C47" s="222"/>
      <c r="D47" s="223">
        <f t="shared" si="8"/>
        <v>1</v>
      </c>
      <c r="E47" s="223">
        <f t="shared" si="9"/>
        <v>1</v>
      </c>
      <c r="F47" s="223">
        <f t="shared" si="10"/>
        <v>1</v>
      </c>
      <c r="G47" s="223">
        <f t="shared" si="11"/>
        <v>0</v>
      </c>
      <c r="H47" s="222" t="e">
        <f t="shared" si="12"/>
        <v>#DIV/0!</v>
      </c>
      <c r="I47" s="224">
        <f t="shared" si="13"/>
        <v>1</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1</v>
      </c>
      <c r="F48" s="223">
        <f t="shared" si="10"/>
        <v>1</v>
      </c>
      <c r="G48" s="223">
        <f t="shared" si="11"/>
        <v>0</v>
      </c>
      <c r="H48" s="222" t="e">
        <f t="shared" si="12"/>
        <v>#DIV/0!</v>
      </c>
      <c r="I48" s="224">
        <f t="shared" si="13"/>
        <v>1</v>
      </c>
      <c r="J48" s="224">
        <f t="shared" si="13"/>
        <v>1</v>
      </c>
      <c r="K48" s="224"/>
      <c r="L48" s="224"/>
      <c r="M48" s="224"/>
      <c r="N48" s="224"/>
      <c r="O48" s="104"/>
      <c r="P48" s="104"/>
      <c r="Q48" s="113"/>
      <c r="R48" s="113"/>
      <c r="S48" s="226" t="str">
        <f>'3'!S48</f>
        <v>Sum of 6 skinfolds</v>
      </c>
      <c r="T48" s="104"/>
      <c r="U48" s="235" t="e">
        <f>SUM(U17:U18,U21:U24)</f>
        <v>#DIV/0!</v>
      </c>
      <c r="V48" s="227" t="str">
        <f>'3'!V48</f>
        <v>mm</v>
      </c>
      <c r="W48" s="233"/>
      <c r="X48" s="201"/>
      <c r="Y48" s="126"/>
      <c r="Z48" s="115"/>
      <c r="AA48" s="115"/>
    </row>
    <row r="49" spans="1:27" s="109" customFormat="1">
      <c r="B49" s="223" t="str">
        <f t="shared" si="7"/>
        <v>Abdominal sf</v>
      </c>
      <c r="C49" s="222"/>
      <c r="D49" s="223">
        <f t="shared" si="8"/>
        <v>1</v>
      </c>
      <c r="E49" s="223">
        <f t="shared" si="9"/>
        <v>1</v>
      </c>
      <c r="F49" s="223">
        <f t="shared" si="10"/>
        <v>1</v>
      </c>
      <c r="G49" s="223">
        <f t="shared" si="11"/>
        <v>0</v>
      </c>
      <c r="H49" s="222" t="e">
        <f t="shared" si="12"/>
        <v>#DIV/0!</v>
      </c>
      <c r="I49" s="224">
        <f>COUNTIF(G22,"")</f>
        <v>1</v>
      </c>
      <c r="J49" s="224">
        <f t="shared" si="13"/>
        <v>1</v>
      </c>
      <c r="K49" s="224"/>
      <c r="L49" s="224"/>
      <c r="M49" s="224"/>
      <c r="N49" s="224"/>
      <c r="Q49" s="236"/>
      <c r="R49" s="236"/>
      <c r="S49" s="226" t="str">
        <f>'3'!S49</f>
        <v>Sum of 8 skinfolds</v>
      </c>
      <c r="T49" s="104"/>
      <c r="U49" s="235" t="e">
        <f>SUM(U17:U24)</f>
        <v>#DIV/0!</v>
      </c>
      <c r="V49" s="227" t="str">
        <f>'3'!V49</f>
        <v>mm</v>
      </c>
      <c r="W49" s="126"/>
      <c r="X49" s="232"/>
      <c r="Y49" s="126"/>
      <c r="Z49" s="115"/>
      <c r="AA49" s="115"/>
    </row>
    <row r="50" spans="1:27">
      <c r="A50" s="109"/>
      <c r="B50" s="223" t="str">
        <f t="shared" si="7"/>
        <v>Thigh sf</v>
      </c>
      <c r="C50" s="222"/>
      <c r="D50" s="223">
        <f t="shared" si="8"/>
        <v>1</v>
      </c>
      <c r="E50" s="223">
        <f t="shared" si="9"/>
        <v>1</v>
      </c>
      <c r="F50" s="223">
        <f t="shared" si="10"/>
        <v>1</v>
      </c>
      <c r="G50" s="223">
        <f t="shared" si="11"/>
        <v>0</v>
      </c>
      <c r="H50" s="222" t="e">
        <f t="shared" si="12"/>
        <v>#DIV/0!</v>
      </c>
      <c r="I50" s="224">
        <f t="shared" si="13"/>
        <v>1</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1</v>
      </c>
      <c r="F51" s="223">
        <f t="shared" si="10"/>
        <v>1</v>
      </c>
      <c r="G51" s="223">
        <f t="shared" si="11"/>
        <v>0</v>
      </c>
      <c r="H51" s="222" t="e">
        <f t="shared" si="12"/>
        <v>#DIV/0!</v>
      </c>
      <c r="I51" s="224">
        <f t="shared" si="13"/>
        <v>1</v>
      </c>
      <c r="J51" s="224">
        <f t="shared" si="13"/>
        <v>1</v>
      </c>
      <c r="K51" s="224"/>
      <c r="L51" s="224"/>
      <c r="M51" s="224"/>
      <c r="N51" s="224"/>
      <c r="Q51" s="113"/>
      <c r="R51" s="113"/>
      <c r="S51" s="226" t="str">
        <f>'3'!S51</f>
        <v>Fat percentage</v>
      </c>
      <c r="T51" s="238"/>
      <c r="U51" s="35" t="e">
        <f>IF(U8=1,0.735*(U17+U24)+1,0.61*(U17+U24)+5.1)</f>
        <v>#DIV/0!</v>
      </c>
      <c r="V51" s="227" t="str">
        <f>'3'!V51</f>
        <v>(Slaughter)</v>
      </c>
      <c r="X51" s="229"/>
      <c r="Y51" s="124"/>
      <c r="Z51" s="145"/>
      <c r="AA51" s="145"/>
    </row>
    <row r="52" spans="1:27">
      <c r="B52" s="223" t="str">
        <f t="shared" si="7"/>
        <v>Arm girth relaxed</v>
      </c>
      <c r="C52" s="222"/>
      <c r="D52" s="223">
        <f t="shared" si="8"/>
        <v>1</v>
      </c>
      <c r="E52" s="223">
        <f t="shared" si="9"/>
        <v>1</v>
      </c>
      <c r="F52" s="223">
        <f t="shared" si="10"/>
        <v>1</v>
      </c>
      <c r="G52" s="223">
        <f t="shared" si="11"/>
        <v>0</v>
      </c>
      <c r="H52" s="222" t="e">
        <f t="shared" si="12"/>
        <v>#DIV/0!</v>
      </c>
      <c r="I52" s="224">
        <f t="shared" si="13"/>
        <v>1</v>
      </c>
      <c r="J52" s="224">
        <f t="shared" si="13"/>
        <v>1</v>
      </c>
      <c r="K52" s="224"/>
      <c r="L52" s="224"/>
      <c r="M52" s="224"/>
      <c r="N52" s="224"/>
      <c r="Q52" s="113"/>
      <c r="R52" s="113"/>
      <c r="U52" s="35" t="e">
        <f>IF(U8=1,0.153*(U17+U18+U21+U22)+5.783,0.213*(U17+U18+U21+U22)+7.9)</f>
        <v>#DIV/0!</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t="e">
        <f>IF(U8=1,0.1051*(U48)+2.58,0.1548*(U48)+3.58)</f>
        <v>#DIV/0!</v>
      </c>
      <c r="V53" s="227" t="str">
        <f>'3'!V53</f>
        <v>(Carter, from Yuhasz)</v>
      </c>
      <c r="X53" s="229"/>
      <c r="Y53" s="227"/>
      <c r="Z53" s="145"/>
      <c r="AA53" s="145"/>
    </row>
    <row r="54" spans="1:27">
      <c r="B54" s="223" t="str">
        <f t="shared" si="7"/>
        <v>Arm girth flexed and tensed</v>
      </c>
      <c r="C54" s="222"/>
      <c r="D54" s="223">
        <f t="shared" si="8"/>
        <v>1</v>
      </c>
      <c r="E54" s="223">
        <f t="shared" si="9"/>
        <v>1</v>
      </c>
      <c r="F54" s="223">
        <f t="shared" si="10"/>
        <v>1</v>
      </c>
      <c r="G54" s="223">
        <f t="shared" si="11"/>
        <v>0</v>
      </c>
      <c r="H54" s="222" t="e">
        <f t="shared" si="12"/>
        <v>#DIV/0!</v>
      </c>
      <c r="I54" s="224">
        <f t="shared" si="13"/>
        <v>1</v>
      </c>
      <c r="J54" s="224">
        <f t="shared" si="13"/>
        <v>1</v>
      </c>
      <c r="K54" s="224"/>
      <c r="L54" s="224"/>
      <c r="M54" s="224"/>
      <c r="N54" s="224"/>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22"/>
      <c r="D55" s="223">
        <f t="shared" si="8"/>
        <v>1</v>
      </c>
      <c r="E55" s="223">
        <f t="shared" si="9"/>
        <v>1</v>
      </c>
      <c r="F55" s="223">
        <f t="shared" si="10"/>
        <v>1</v>
      </c>
      <c r="G55" s="223">
        <f t="shared" si="11"/>
        <v>0</v>
      </c>
      <c r="H55" s="222" t="e">
        <f t="shared" si="12"/>
        <v>#DIV/0!</v>
      </c>
      <c r="I55" s="224">
        <f t="shared" si="13"/>
        <v>1</v>
      </c>
      <c r="J55" s="224">
        <f t="shared" si="13"/>
        <v>1</v>
      </c>
      <c r="K55" s="224"/>
      <c r="L55" s="224">
        <f>COUNTIF(L13:L36,"yes")</f>
        <v>0</v>
      </c>
      <c r="M55" s="224"/>
      <c r="N55" s="224"/>
      <c r="Q55" s="113"/>
      <c r="R55" s="113"/>
      <c r="U55" s="35" t="e">
        <f>(U14/100*((0.0064*(U26^2))+(0.0032*(U31^2))+(0.0015*(U33^2)))+(2.56*IF(U8=1,1,0))+(0.136*(U10-U11)/365.25))*100/U13</f>
        <v>#DIV/0!</v>
      </c>
      <c r="V55" s="239" t="str">
        <f>'3'!V55</f>
        <v>(Poortmans)</v>
      </c>
      <c r="X55" s="240"/>
      <c r="Y55" s="227"/>
      <c r="Z55" s="145"/>
      <c r="AA55" s="145"/>
    </row>
    <row r="56" spans="1:27">
      <c r="B56" s="223" t="str">
        <f t="shared" si="7"/>
        <v>Hips girth</v>
      </c>
      <c r="C56" s="222"/>
      <c r="D56" s="223">
        <f t="shared" si="8"/>
        <v>1</v>
      </c>
      <c r="E56" s="223">
        <f t="shared" si="9"/>
        <v>1</v>
      </c>
      <c r="F56" s="223">
        <f t="shared" si="10"/>
        <v>1</v>
      </c>
      <c r="G56" s="223">
        <f t="shared" si="11"/>
        <v>0</v>
      </c>
      <c r="H56" s="222" t="e">
        <f t="shared" si="12"/>
        <v>#DIV/0!</v>
      </c>
      <c r="I56" s="224">
        <f t="shared" si="13"/>
        <v>1</v>
      </c>
      <c r="J56" s="224">
        <f t="shared" si="13"/>
        <v>1</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1</v>
      </c>
      <c r="E57" s="223">
        <f t="shared" si="9"/>
        <v>1</v>
      </c>
      <c r="F57" s="223">
        <f t="shared" si="10"/>
        <v>1</v>
      </c>
      <c r="G57" s="223">
        <f t="shared" si="11"/>
        <v>0</v>
      </c>
      <c r="H57" s="222" t="e">
        <f t="shared" si="12"/>
        <v>#DIV/0!</v>
      </c>
      <c r="I57" s="224">
        <f t="shared" ref="I57:J62" si="14">COUNTIF(G30,"")</f>
        <v>1</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1</v>
      </c>
      <c r="F59" s="223">
        <f t="shared" si="10"/>
        <v>1</v>
      </c>
      <c r="G59" s="223">
        <f t="shared" si="11"/>
        <v>0</v>
      </c>
      <c r="H59" s="222" t="e">
        <f t="shared" si="12"/>
        <v>#DIV/0!</v>
      </c>
      <c r="I59" s="224">
        <f t="shared" si="14"/>
        <v>1</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4"/>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4"/>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21</v>
      </c>
      <c r="E64" s="223">
        <f t="shared" si="15"/>
        <v>21</v>
      </c>
      <c r="F64" s="223">
        <f t="shared" si="15"/>
        <v>21</v>
      </c>
      <c r="G64" s="223">
        <f t="shared" si="15"/>
        <v>0</v>
      </c>
      <c r="H64" s="223" t="e">
        <f t="shared" si="15"/>
        <v>#DIV/0!</v>
      </c>
      <c r="I64" s="224">
        <f t="shared" si="15"/>
        <v>21</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24">
        <f>ABS(G67-H67)</f>
        <v>0</v>
      </c>
      <c r="K67" s="224">
        <f>ABS(I67-G67)</f>
        <v>0</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24">
        <f t="shared" ref="J68:J87" si="18">ABS(G68-H68)</f>
        <v>0</v>
      </c>
      <c r="K68" s="224">
        <f t="shared" ref="K68:K87" si="19">ABS(I68-G68)</f>
        <v>0</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0</v>
      </c>
      <c r="H71" s="245">
        <f t="shared" si="16"/>
        <v>0</v>
      </c>
      <c r="I71" s="245">
        <f t="shared" si="16"/>
        <v>0</v>
      </c>
      <c r="J71" s="224">
        <f t="shared" si="18"/>
        <v>0</v>
      </c>
      <c r="K71" s="224">
        <f t="shared" si="19"/>
        <v>0</v>
      </c>
      <c r="L71" s="224">
        <f t="shared" si="20"/>
        <v>0</v>
      </c>
      <c r="M71" s="246">
        <f t="shared" si="21"/>
        <v>0</v>
      </c>
      <c r="N71" s="246">
        <f t="shared" si="22"/>
        <v>0</v>
      </c>
    </row>
    <row r="72" spans="1:22" s="247" customFormat="1">
      <c r="B72" s="269" t="str">
        <f t="shared" si="17"/>
        <v>Subscapular sf</v>
      </c>
      <c r="C72" s="269"/>
      <c r="D72" s="269"/>
      <c r="E72" s="269"/>
      <c r="F72" s="269"/>
      <c r="G72" s="245">
        <f t="shared" si="16"/>
        <v>0</v>
      </c>
      <c r="H72" s="245">
        <f t="shared" si="16"/>
        <v>0</v>
      </c>
      <c r="I72" s="245">
        <f t="shared" si="16"/>
        <v>0</v>
      </c>
      <c r="J72" s="224">
        <f t="shared" si="18"/>
        <v>0</v>
      </c>
      <c r="K72" s="224">
        <f t="shared" si="19"/>
        <v>0</v>
      </c>
      <c r="L72" s="224">
        <f t="shared" si="20"/>
        <v>0</v>
      </c>
      <c r="M72" s="246">
        <f t="shared" si="21"/>
        <v>0</v>
      </c>
      <c r="N72" s="246">
        <f t="shared" si="22"/>
        <v>0</v>
      </c>
    </row>
    <row r="73" spans="1:22" s="247" customFormat="1">
      <c r="B73" s="269" t="str">
        <f t="shared" si="17"/>
        <v>Biceps sf</v>
      </c>
      <c r="C73" s="269"/>
      <c r="D73" s="269"/>
      <c r="E73" s="269"/>
      <c r="F73" s="269"/>
      <c r="G73" s="245">
        <f t="shared" si="16"/>
        <v>0</v>
      </c>
      <c r="H73" s="245">
        <f t="shared" si="16"/>
        <v>0</v>
      </c>
      <c r="I73" s="245">
        <f t="shared" si="16"/>
        <v>0</v>
      </c>
      <c r="J73" s="224">
        <f t="shared" si="18"/>
        <v>0</v>
      </c>
      <c r="K73" s="224">
        <f t="shared" si="19"/>
        <v>0</v>
      </c>
      <c r="L73" s="224">
        <f t="shared" si="20"/>
        <v>0</v>
      </c>
      <c r="M73" s="246">
        <f t="shared" si="21"/>
        <v>0</v>
      </c>
      <c r="N73" s="246">
        <f t="shared" si="22"/>
        <v>0</v>
      </c>
    </row>
    <row r="74" spans="1:22" s="247" customFormat="1">
      <c r="B74" s="269" t="str">
        <f t="shared" si="17"/>
        <v>Iliac crest sf</v>
      </c>
      <c r="C74" s="269"/>
      <c r="D74" s="269"/>
      <c r="E74" s="269"/>
      <c r="F74" s="269"/>
      <c r="G74" s="245">
        <f t="shared" si="16"/>
        <v>0</v>
      </c>
      <c r="H74" s="245">
        <f t="shared" si="16"/>
        <v>0</v>
      </c>
      <c r="I74" s="245">
        <f t="shared" si="16"/>
        <v>0</v>
      </c>
      <c r="J74" s="224">
        <f t="shared" si="18"/>
        <v>0</v>
      </c>
      <c r="K74" s="224">
        <f t="shared" si="19"/>
        <v>0</v>
      </c>
      <c r="L74" s="224">
        <f t="shared" si="20"/>
        <v>0</v>
      </c>
      <c r="M74" s="246">
        <f t="shared" si="21"/>
        <v>0</v>
      </c>
      <c r="N74" s="246">
        <f t="shared" si="22"/>
        <v>0</v>
      </c>
    </row>
    <row r="75" spans="1:22" s="247" customFormat="1">
      <c r="B75" s="269" t="str">
        <f t="shared" si="17"/>
        <v>Supraspinale sf</v>
      </c>
      <c r="C75" s="269"/>
      <c r="D75" s="269"/>
      <c r="E75" s="269"/>
      <c r="F75" s="269"/>
      <c r="G75" s="245">
        <f t="shared" si="16"/>
        <v>0</v>
      </c>
      <c r="H75" s="245">
        <f t="shared" si="16"/>
        <v>0</v>
      </c>
      <c r="I75" s="245">
        <f t="shared" si="16"/>
        <v>0</v>
      </c>
      <c r="J75" s="224">
        <f t="shared" si="18"/>
        <v>0</v>
      </c>
      <c r="K75" s="224">
        <f t="shared" si="19"/>
        <v>0</v>
      </c>
      <c r="L75" s="224">
        <f t="shared" si="20"/>
        <v>0</v>
      </c>
      <c r="M75" s="246">
        <f t="shared" si="21"/>
        <v>0</v>
      </c>
      <c r="N75" s="246">
        <f t="shared" si="22"/>
        <v>0</v>
      </c>
    </row>
    <row r="76" spans="1:22" s="247" customFormat="1">
      <c r="B76" s="269" t="str">
        <f t="shared" si="17"/>
        <v>Abdominal sf</v>
      </c>
      <c r="C76" s="269"/>
      <c r="D76" s="269"/>
      <c r="E76" s="269"/>
      <c r="F76" s="269"/>
      <c r="G76" s="245">
        <f t="shared" si="16"/>
        <v>0</v>
      </c>
      <c r="H76" s="245">
        <f t="shared" si="16"/>
        <v>0</v>
      </c>
      <c r="I76" s="245">
        <f t="shared" si="16"/>
        <v>0</v>
      </c>
      <c r="J76" s="224">
        <f t="shared" si="18"/>
        <v>0</v>
      </c>
      <c r="K76" s="224">
        <f t="shared" si="19"/>
        <v>0</v>
      </c>
      <c r="L76" s="224">
        <f t="shared" si="20"/>
        <v>0</v>
      </c>
      <c r="M76" s="246">
        <f t="shared" si="21"/>
        <v>0</v>
      </c>
      <c r="N76" s="246">
        <f t="shared" si="22"/>
        <v>0</v>
      </c>
    </row>
    <row r="77" spans="1:22" s="247" customFormat="1">
      <c r="A77" s="244"/>
      <c r="B77" s="269" t="str">
        <f t="shared" si="17"/>
        <v>Thigh sf</v>
      </c>
      <c r="C77" s="269"/>
      <c r="D77" s="269"/>
      <c r="E77" s="269"/>
      <c r="F77" s="269"/>
      <c r="G77" s="245">
        <f t="shared" si="16"/>
        <v>0</v>
      </c>
      <c r="H77" s="245">
        <f t="shared" si="16"/>
        <v>0</v>
      </c>
      <c r="I77" s="245">
        <f t="shared" si="16"/>
        <v>0</v>
      </c>
      <c r="J77" s="224">
        <f t="shared" si="18"/>
        <v>0</v>
      </c>
      <c r="K77" s="224">
        <f t="shared" si="19"/>
        <v>0</v>
      </c>
      <c r="L77" s="224">
        <f t="shared" si="20"/>
        <v>0</v>
      </c>
      <c r="M77" s="246">
        <f t="shared" si="21"/>
        <v>0</v>
      </c>
      <c r="N77" s="246">
        <f t="shared" si="22"/>
        <v>0</v>
      </c>
    </row>
    <row r="78" spans="1:22" s="247" customFormat="1">
      <c r="B78" s="269" t="str">
        <f t="shared" si="17"/>
        <v>Calf sf</v>
      </c>
      <c r="C78" s="269"/>
      <c r="D78" s="269"/>
      <c r="E78" s="269"/>
      <c r="F78" s="269"/>
      <c r="G78" s="245">
        <f t="shared" si="16"/>
        <v>0</v>
      </c>
      <c r="H78" s="245">
        <f t="shared" si="16"/>
        <v>0</v>
      </c>
      <c r="I78" s="245">
        <f t="shared" si="16"/>
        <v>0</v>
      </c>
      <c r="J78" s="224">
        <f t="shared" si="18"/>
        <v>0</v>
      </c>
      <c r="K78" s="224">
        <f t="shared" si="19"/>
        <v>0</v>
      </c>
      <c r="L78" s="224">
        <f t="shared" si="20"/>
        <v>0</v>
      </c>
      <c r="M78" s="246">
        <f t="shared" si="21"/>
        <v>0</v>
      </c>
      <c r="N78" s="246">
        <f t="shared" si="22"/>
        <v>0</v>
      </c>
    </row>
    <row r="79" spans="1:22" s="247" customFormat="1">
      <c r="B79" s="269" t="str">
        <f t="shared" si="17"/>
        <v>Arm girth relaxed</v>
      </c>
      <c r="C79" s="269"/>
      <c r="D79" s="269"/>
      <c r="E79" s="269"/>
      <c r="F79" s="269"/>
      <c r="G79" s="245">
        <f t="shared" si="16"/>
        <v>0</v>
      </c>
      <c r="H79" s="245">
        <f t="shared" si="16"/>
        <v>0</v>
      </c>
      <c r="I79" s="245">
        <f t="shared" si="16"/>
        <v>0</v>
      </c>
      <c r="J79" s="224">
        <f t="shared" si="18"/>
        <v>0</v>
      </c>
      <c r="K79" s="224">
        <f t="shared" si="19"/>
        <v>0</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0</v>
      </c>
      <c r="H80" s="245">
        <f t="shared" si="23"/>
        <v>0</v>
      </c>
      <c r="I80" s="245">
        <f t="shared" si="23"/>
        <v>0</v>
      </c>
      <c r="J80" s="224">
        <f t="shared" si="18"/>
        <v>0</v>
      </c>
      <c r="K80" s="224">
        <f t="shared" si="19"/>
        <v>0</v>
      </c>
      <c r="L80" s="224">
        <f t="shared" si="20"/>
        <v>0</v>
      </c>
      <c r="M80" s="246">
        <f t="shared" si="21"/>
        <v>0</v>
      </c>
      <c r="N80" s="246">
        <f t="shared" si="22"/>
        <v>0</v>
      </c>
    </row>
    <row r="81" spans="1:14" s="247" customFormat="1">
      <c r="B81" s="269" t="str">
        <f>B28</f>
        <v>Waist girth</v>
      </c>
      <c r="C81" s="269"/>
      <c r="D81" s="269"/>
      <c r="E81" s="269"/>
      <c r="F81" s="269"/>
      <c r="G81" s="245">
        <f t="shared" si="23"/>
        <v>0</v>
      </c>
      <c r="H81" s="245">
        <f t="shared" si="23"/>
        <v>0</v>
      </c>
      <c r="I81" s="245">
        <f t="shared" si="23"/>
        <v>0</v>
      </c>
      <c r="J81" s="224">
        <f t="shared" si="18"/>
        <v>0</v>
      </c>
      <c r="K81" s="224">
        <f t="shared" si="19"/>
        <v>0</v>
      </c>
      <c r="L81" s="224">
        <f t="shared" si="20"/>
        <v>0</v>
      </c>
      <c r="M81" s="246">
        <f t="shared" si="21"/>
        <v>0</v>
      </c>
      <c r="N81" s="246">
        <f t="shared" si="22"/>
        <v>0</v>
      </c>
    </row>
    <row r="82" spans="1:14" s="247" customFormat="1">
      <c r="B82" s="269" t="str">
        <f>B29</f>
        <v>Hips girth</v>
      </c>
      <c r="C82" s="269"/>
      <c r="D82" s="269"/>
      <c r="E82" s="269"/>
      <c r="F82" s="269"/>
      <c r="G82" s="245">
        <f t="shared" si="23"/>
        <v>0</v>
      </c>
      <c r="H82" s="245">
        <f t="shared" si="23"/>
        <v>0</v>
      </c>
      <c r="I82" s="245">
        <f t="shared" si="23"/>
        <v>0</v>
      </c>
      <c r="J82" s="224">
        <f t="shared" si="18"/>
        <v>0</v>
      </c>
      <c r="K82" s="224">
        <f t="shared" si="19"/>
        <v>0</v>
      </c>
      <c r="L82" s="224">
        <f t="shared" si="20"/>
        <v>0</v>
      </c>
      <c r="M82" s="246">
        <f t="shared" si="21"/>
        <v>0</v>
      </c>
      <c r="N82" s="246">
        <f t="shared" si="22"/>
        <v>0</v>
      </c>
    </row>
    <row r="83" spans="1:14">
      <c r="A83" s="247"/>
      <c r="B83" s="269" t="str">
        <f>B30</f>
        <v>Thigh middle girth</v>
      </c>
      <c r="C83" s="269"/>
      <c r="D83" s="269"/>
      <c r="E83" s="269"/>
      <c r="F83" s="269"/>
      <c r="G83" s="245">
        <f t="shared" si="23"/>
        <v>0</v>
      </c>
      <c r="H83" s="245">
        <f t="shared" si="23"/>
        <v>0</v>
      </c>
      <c r="I83" s="245">
        <f t="shared" si="23"/>
        <v>0</v>
      </c>
      <c r="J83" s="224">
        <f t="shared" si="18"/>
        <v>0</v>
      </c>
      <c r="K83" s="224">
        <f t="shared" si="19"/>
        <v>0</v>
      </c>
      <c r="L83" s="224">
        <f t="shared" si="20"/>
        <v>0</v>
      </c>
      <c r="M83" s="246">
        <f t="shared" si="21"/>
        <v>0</v>
      </c>
      <c r="N83" s="246">
        <f t="shared" si="22"/>
        <v>0</v>
      </c>
    </row>
    <row r="84" spans="1:14">
      <c r="B84" s="269" t="str">
        <f>B32</f>
        <v>Calf girth</v>
      </c>
      <c r="C84" s="269"/>
      <c r="D84" s="269"/>
      <c r="E84" s="269"/>
      <c r="F84" s="269"/>
      <c r="G84" s="245">
        <f>+G32</f>
        <v>0</v>
      </c>
      <c r="H84" s="245">
        <f>+H32</f>
        <v>0</v>
      </c>
      <c r="I84" s="245">
        <f>+I32</f>
        <v>0</v>
      </c>
      <c r="J84" s="224">
        <f t="shared" si="18"/>
        <v>0</v>
      </c>
      <c r="K84" s="224">
        <f t="shared" si="19"/>
        <v>0</v>
      </c>
      <c r="L84" s="224">
        <f t="shared" si="20"/>
        <v>0</v>
      </c>
      <c r="M84" s="246">
        <f t="shared" si="21"/>
        <v>0</v>
      </c>
      <c r="N84" s="246">
        <f t="shared" si="22"/>
        <v>0</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asLFONaw2e9DPc37lFDCwW4Sgsqsaen1gmjyEqJOGhPgH6vj+sj76/kOPhjjvA6nuZhuecu0BNyNeYiXBaLRvQ==" saltValue="H1fkqgNNxpcE44Y571dUL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91"/>
  <sheetViews>
    <sheetView topLeftCell="A4" zoomScaleNormal="75" zoomScaleSheetLayoutView="75" workbookViewId="0">
      <selection activeCell="G15" sqref="G15"/>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c r="H4" s="71"/>
      <c r="I4" s="72"/>
      <c r="J4" s="118"/>
      <c r="K4" s="118"/>
      <c r="L4" s="111"/>
      <c r="M4" s="111"/>
      <c r="N4" s="111"/>
      <c r="O4" s="104"/>
      <c r="P4" s="104"/>
      <c r="Q4" s="113"/>
      <c r="R4" s="105" t="str">
        <f t="shared" ref="R4:R11" si="0">+B4</f>
        <v>Name</v>
      </c>
      <c r="S4" s="119"/>
      <c r="T4" s="119"/>
      <c r="U4" s="120">
        <f t="shared" ref="U4:U11" si="1">+G4</f>
        <v>0</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c r="H7" s="75"/>
      <c r="I7" s="76"/>
      <c r="J7" s="111"/>
      <c r="K7" s="111"/>
      <c r="L7" s="111"/>
      <c r="M7" s="111"/>
      <c r="N7" s="111"/>
      <c r="O7" s="104"/>
      <c r="P7" s="104"/>
      <c r="Q7" s="113"/>
      <c r="R7" s="113" t="str">
        <f t="shared" si="0"/>
        <v>Ethnicity (Asian=1; African-American=2; Caucasian=3)</v>
      </c>
      <c r="S7" s="124"/>
      <c r="T7" s="124"/>
      <c r="U7" s="125">
        <f t="shared" si="1"/>
        <v>0</v>
      </c>
      <c r="V7" s="126"/>
      <c r="W7" s="126"/>
      <c r="X7" s="127"/>
      <c r="Y7" s="126"/>
      <c r="Z7" s="115"/>
      <c r="AA7" s="115"/>
    </row>
    <row r="8" spans="1:27" s="109" customFormat="1" ht="24" customHeight="1">
      <c r="B8" s="116" t="str">
        <f>IF(Info!D34,"Sex (male=1, female=2)","Sexo (hombre=1, mujer=2)")</f>
        <v>Sex (male=1, female=2)</v>
      </c>
      <c r="C8" s="116"/>
      <c r="D8" s="116"/>
      <c r="E8" s="110"/>
      <c r="F8" s="128"/>
      <c r="G8" s="82"/>
      <c r="H8" s="74"/>
      <c r="I8" s="77"/>
      <c r="J8" s="129"/>
      <c r="K8" s="129"/>
      <c r="L8" s="129"/>
      <c r="M8" s="129"/>
      <c r="N8" s="123"/>
      <c r="O8" s="104"/>
      <c r="P8" s="104"/>
      <c r="Q8" s="113"/>
      <c r="R8" s="113" t="str">
        <f t="shared" si="0"/>
        <v>Sex (male=1, female=2)</v>
      </c>
      <c r="S8" s="124"/>
      <c r="T8" s="124"/>
      <c r="U8" s="125">
        <f t="shared" si="1"/>
        <v>0</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c r="H10" s="76"/>
      <c r="I10" s="76"/>
      <c r="J10" s="111"/>
      <c r="K10" s="111"/>
      <c r="L10" s="111"/>
      <c r="M10" s="111"/>
      <c r="N10" s="122"/>
      <c r="O10" s="104"/>
      <c r="P10" s="104"/>
      <c r="Q10" s="113"/>
      <c r="R10" s="113" t="str">
        <f t="shared" si="0"/>
        <v>Date of Measurement</v>
      </c>
      <c r="S10" s="124"/>
      <c r="T10" s="124"/>
      <c r="U10" s="131">
        <f t="shared" si="1"/>
        <v>0</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66" t="e">
        <f t="shared" si="4"/>
        <v>#DIV/0!</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c r="H17" s="84"/>
      <c r="I17" s="84"/>
      <c r="J17" s="150"/>
      <c r="K17" s="151" t="e">
        <f t="shared" si="5"/>
        <v>#DIV/0!</v>
      </c>
      <c r="L17" s="152" t="e">
        <f t="shared" ref="L17:L24" si="6">IF(ABS(K17)&gt;5%,"Yes","No")</f>
        <v>#DIV/0!</v>
      </c>
      <c r="M17" s="150"/>
      <c r="N17" s="153" t="e">
        <f t="shared" si="2"/>
        <v>#DIV/0!</v>
      </c>
      <c r="O17" s="154"/>
      <c r="P17" s="154"/>
      <c r="Q17" s="155"/>
      <c r="R17" s="156" t="str">
        <f t="shared" si="3"/>
        <v>Triceps sf</v>
      </c>
      <c r="S17" s="157"/>
      <c r="T17" s="157"/>
      <c r="U17" s="175" t="e">
        <f t="shared" si="4"/>
        <v>#DIV/0!</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c r="H18" s="85"/>
      <c r="I18" s="85"/>
      <c r="J18" s="134"/>
      <c r="K18" s="162" t="e">
        <f t="shared" si="5"/>
        <v>#DIV/0!</v>
      </c>
      <c r="L18" s="163" t="e">
        <f t="shared" si="6"/>
        <v>#DIV/0!</v>
      </c>
      <c r="M18" s="134"/>
      <c r="N18" s="164" t="e">
        <f t="shared" si="2"/>
        <v>#DIV/0!</v>
      </c>
      <c r="O18" s="154"/>
      <c r="P18" s="154"/>
      <c r="Q18" s="155"/>
      <c r="R18" s="155" t="str">
        <f t="shared" si="3"/>
        <v>Subscapular sf</v>
      </c>
      <c r="S18" s="165"/>
      <c r="T18" s="165"/>
      <c r="U18" s="180" t="e">
        <f t="shared" si="4"/>
        <v>#DIV/0!</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c r="H19" s="85"/>
      <c r="I19" s="85"/>
      <c r="J19" s="134"/>
      <c r="K19" s="182" t="e">
        <f t="shared" si="5"/>
        <v>#DIV/0!</v>
      </c>
      <c r="L19" s="163" t="e">
        <f t="shared" si="6"/>
        <v>#DIV/0!</v>
      </c>
      <c r="M19" s="134"/>
      <c r="N19" s="164" t="e">
        <f t="shared" si="2"/>
        <v>#DIV/0!</v>
      </c>
      <c r="O19" s="154"/>
      <c r="P19" s="154"/>
      <c r="Q19" s="155"/>
      <c r="R19" s="155" t="str">
        <f t="shared" si="3"/>
        <v>Biceps sf</v>
      </c>
      <c r="S19" s="165"/>
      <c r="T19" s="165"/>
      <c r="U19" s="180" t="e">
        <f t="shared" si="4"/>
        <v>#DIV/0!</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c r="H20" s="85"/>
      <c r="I20" s="85"/>
      <c r="J20" s="134"/>
      <c r="K20" s="182" t="e">
        <f t="shared" si="5"/>
        <v>#DIV/0!</v>
      </c>
      <c r="L20" s="163" t="e">
        <f t="shared" si="6"/>
        <v>#DIV/0!</v>
      </c>
      <c r="M20" s="134"/>
      <c r="N20" s="164" t="e">
        <f t="shared" si="2"/>
        <v>#DIV/0!</v>
      </c>
      <c r="O20" s="154"/>
      <c r="P20" s="154"/>
      <c r="Q20" s="155"/>
      <c r="R20" s="155" t="str">
        <f t="shared" si="3"/>
        <v>Iliac crest sf</v>
      </c>
      <c r="S20" s="165"/>
      <c r="T20" s="165"/>
      <c r="U20" s="180" t="e">
        <f t="shared" si="4"/>
        <v>#DIV/0!</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c r="H21" s="85"/>
      <c r="I21" s="85"/>
      <c r="J21" s="134"/>
      <c r="K21" s="162" t="e">
        <f t="shared" si="5"/>
        <v>#DIV/0!</v>
      </c>
      <c r="L21" s="163" t="e">
        <f t="shared" si="6"/>
        <v>#DIV/0!</v>
      </c>
      <c r="M21" s="134"/>
      <c r="N21" s="164" t="e">
        <f t="shared" si="2"/>
        <v>#DIV/0!</v>
      </c>
      <c r="O21" s="154"/>
      <c r="P21" s="154"/>
      <c r="Q21" s="155"/>
      <c r="R21" s="155" t="str">
        <f t="shared" si="3"/>
        <v>Supraspinale sf</v>
      </c>
      <c r="S21" s="165"/>
      <c r="T21" s="165"/>
      <c r="U21" s="180" t="e">
        <f t="shared" si="4"/>
        <v>#DIV/0!</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c r="H22" s="85"/>
      <c r="I22" s="85"/>
      <c r="J22" s="134"/>
      <c r="K22" s="162" t="e">
        <f t="shared" si="5"/>
        <v>#DIV/0!</v>
      </c>
      <c r="L22" s="163" t="e">
        <f t="shared" si="6"/>
        <v>#DIV/0!</v>
      </c>
      <c r="M22" s="134"/>
      <c r="N22" s="164" t="e">
        <f t="shared" si="2"/>
        <v>#DIV/0!</v>
      </c>
      <c r="O22" s="154"/>
      <c r="P22" s="154"/>
      <c r="Q22" s="155"/>
      <c r="R22" s="155" t="str">
        <f t="shared" si="3"/>
        <v>Abdominal sf</v>
      </c>
      <c r="S22" s="165"/>
      <c r="T22" s="165"/>
      <c r="U22" s="180" t="e">
        <f t="shared" si="4"/>
        <v>#DIV/0!</v>
      </c>
      <c r="V22" s="143" t="s">
        <v>27</v>
      </c>
      <c r="W22" s="32" t="e">
        <f>1/7.78*(+U22*((170.18/U$14)^1)-25.4)</f>
        <v>#DIV/0!</v>
      </c>
      <c r="X22" s="181"/>
      <c r="Y22" s="143"/>
      <c r="Z22" s="145"/>
      <c r="AA22" s="145"/>
    </row>
    <row r="23" spans="1:27" ht="18" customHeight="1">
      <c r="B23" s="161" t="str">
        <f>IF(Info!D34,"Thigh sf","PL Muslo")</f>
        <v>Thigh sf</v>
      </c>
      <c r="C23" s="116"/>
      <c r="D23" s="116"/>
      <c r="E23" s="122"/>
      <c r="F23" s="110"/>
      <c r="G23" s="85"/>
      <c r="H23" s="85"/>
      <c r="I23" s="85"/>
      <c r="J23" s="134"/>
      <c r="K23" s="182" t="e">
        <f t="shared" si="5"/>
        <v>#DIV/0!</v>
      </c>
      <c r="L23" s="163" t="e">
        <f t="shared" si="6"/>
        <v>#DIV/0!</v>
      </c>
      <c r="M23" s="134"/>
      <c r="N23" s="164" t="e">
        <f t="shared" si="2"/>
        <v>#DIV/0!</v>
      </c>
      <c r="O23" s="154"/>
      <c r="P23" s="154"/>
      <c r="Q23" s="155"/>
      <c r="R23" s="155" t="str">
        <f t="shared" si="3"/>
        <v>Thigh sf</v>
      </c>
      <c r="S23" s="165"/>
      <c r="T23" s="165"/>
      <c r="U23" s="180" t="e">
        <f t="shared" si="4"/>
        <v>#DIV/0!</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c r="H24" s="86"/>
      <c r="I24" s="86"/>
      <c r="J24" s="187"/>
      <c r="K24" s="182" t="e">
        <f t="shared" si="5"/>
        <v>#DIV/0!</v>
      </c>
      <c r="L24" s="188" t="e">
        <f t="shared" si="6"/>
        <v>#DIV/0!</v>
      </c>
      <c r="M24" s="187"/>
      <c r="N24" s="189" t="e">
        <f t="shared" si="2"/>
        <v>#DIV/0!</v>
      </c>
      <c r="O24" s="154"/>
      <c r="P24" s="154"/>
      <c r="Q24" s="155"/>
      <c r="R24" s="168" t="str">
        <f t="shared" si="3"/>
        <v>Calf sf</v>
      </c>
      <c r="S24" s="169"/>
      <c r="T24" s="169"/>
      <c r="U24" s="170" t="e">
        <f t="shared" si="4"/>
        <v>#DIV/0!</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c r="H25" s="85"/>
      <c r="I25" s="85"/>
      <c r="J25" s="134"/>
      <c r="K25" s="151" t="e">
        <f t="shared" si="5"/>
        <v>#DIV/0!</v>
      </c>
      <c r="L25" s="163" t="e">
        <f>IF(ABS(K25)&gt;1%,"Yes","No")</f>
        <v>#DIV/0!</v>
      </c>
      <c r="M25" s="134"/>
      <c r="N25" s="164" t="e">
        <f t="shared" si="2"/>
        <v>#DIV/0!</v>
      </c>
      <c r="O25" s="154"/>
      <c r="P25" s="154"/>
      <c r="Q25" s="155"/>
      <c r="R25" s="155" t="str">
        <f t="shared" si="3"/>
        <v>Arm girth relaxed</v>
      </c>
      <c r="S25" s="165"/>
      <c r="T25" s="165"/>
      <c r="U25" s="180" t="e">
        <f t="shared" si="4"/>
        <v>#DIV/0!</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t="e">
        <f>+U25-(PI()*U17/10)</f>
        <v>#DIV/0!</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c r="H27" s="85"/>
      <c r="I27" s="85"/>
      <c r="J27" s="134"/>
      <c r="K27" s="182" t="e">
        <f t="shared" si="5"/>
        <v>#DIV/0!</v>
      </c>
      <c r="L27" s="163" t="e">
        <f>IF(ABS(K27)&gt;1%,"Yes","No")</f>
        <v>#DIV/0!</v>
      </c>
      <c r="M27" s="134"/>
      <c r="N27" s="164" t="e">
        <f>IF(I27=0,AVERAGE(G27,H27),MEDIAN(G27,H27,I27))</f>
        <v>#DIV/0!</v>
      </c>
      <c r="O27" s="154"/>
      <c r="P27" s="154"/>
      <c r="Q27" s="155"/>
      <c r="R27" s="155" t="str">
        <f t="shared" si="3"/>
        <v>Arm girth flexed and tensed</v>
      </c>
      <c r="S27" s="165"/>
      <c r="T27" s="165"/>
      <c r="U27" s="180" t="e">
        <f>+N27</f>
        <v>#DIV/0!</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c r="H28" s="85"/>
      <c r="I28" s="85"/>
      <c r="J28" s="134"/>
      <c r="K28" s="182" t="e">
        <f t="shared" si="5"/>
        <v>#DIV/0!</v>
      </c>
      <c r="L28" s="163" t="e">
        <f>IF(ABS(K28)&gt;1%,"Yes","No")</f>
        <v>#DIV/0!</v>
      </c>
      <c r="M28" s="134"/>
      <c r="N28" s="164" t="e">
        <f>IF(I28=0,AVERAGE(G28,H28),MEDIAN(G28,H28,I28))</f>
        <v>#DIV/0!</v>
      </c>
      <c r="O28" s="154"/>
      <c r="P28" s="154"/>
      <c r="Q28" s="155"/>
      <c r="R28" s="155" t="str">
        <f t="shared" si="3"/>
        <v>Waist girth</v>
      </c>
      <c r="S28" s="165"/>
      <c r="T28" s="165"/>
      <c r="U28" s="180" t="e">
        <f>+N28</f>
        <v>#DIV/0!</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c r="H29" s="85"/>
      <c r="I29" s="85"/>
      <c r="J29" s="134"/>
      <c r="K29" s="182" t="e">
        <f t="shared" si="5"/>
        <v>#DIV/0!</v>
      </c>
      <c r="L29" s="163" t="e">
        <f>IF(ABS(K29)&gt;1%,"Yes","No")</f>
        <v>#DIV/0!</v>
      </c>
      <c r="M29" s="134"/>
      <c r="N29" s="164" t="e">
        <f>IF(I29=0,AVERAGE(G29,H29),MEDIAN(G29,H29,I29))</f>
        <v>#DIV/0!</v>
      </c>
      <c r="O29" s="154"/>
      <c r="P29" s="154"/>
      <c r="Q29" s="155"/>
      <c r="R29" s="155" t="str">
        <f t="shared" si="3"/>
        <v>Hips girth</v>
      </c>
      <c r="S29" s="165"/>
      <c r="T29" s="165"/>
      <c r="U29" s="180" t="e">
        <f>+N29</f>
        <v>#DIV/0!</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c r="H30" s="85"/>
      <c r="I30" s="85"/>
      <c r="J30" s="134"/>
      <c r="K30" s="182" t="e">
        <f>+(H30-G30)/(AVERAGE(G30:H30))</f>
        <v>#DIV/0!</v>
      </c>
      <c r="L30" s="163" t="e">
        <f>IF(ABS(K30)&gt;1%,"Yes","No")</f>
        <v>#DIV/0!</v>
      </c>
      <c r="M30" s="134"/>
      <c r="N30" s="164" t="e">
        <f>IF(I30=0,AVERAGE(G30,H30),MEDIAN(G30,H30,I30))</f>
        <v>#DIV/0!</v>
      </c>
      <c r="O30" s="154"/>
      <c r="P30" s="154"/>
      <c r="Q30" s="155"/>
      <c r="R30" s="155" t="str">
        <f t="shared" si="3"/>
        <v>Thigh middle girth</v>
      </c>
      <c r="S30" s="165"/>
      <c r="T30" s="165"/>
      <c r="U30" s="180" t="e">
        <f>+N30</f>
        <v>#DIV/0!</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t="e">
        <f>+U30-(PI()*U23/10)</f>
        <v>#DIV/0!</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c r="H32" s="85"/>
      <c r="I32" s="85"/>
      <c r="J32" s="134"/>
      <c r="K32" s="182" t="e">
        <f t="shared" si="5"/>
        <v>#DIV/0!</v>
      </c>
      <c r="L32" s="163" t="e">
        <f>IF(ABS(K32)&gt;1%,"Yes","No")</f>
        <v>#DIV/0!</v>
      </c>
      <c r="M32" s="134"/>
      <c r="N32" s="164" t="e">
        <f>IF(I32=0,AVERAGE(G32,H32),MEDIAN(G32,H32,I32))</f>
        <v>#DIV/0!</v>
      </c>
      <c r="O32" s="154"/>
      <c r="P32" s="154"/>
      <c r="Q32" s="155"/>
      <c r="R32" s="155" t="str">
        <f t="shared" si="3"/>
        <v>Calf girth</v>
      </c>
      <c r="S32" s="165"/>
      <c r="T32" s="165"/>
      <c r="U32" s="201" t="e">
        <f>+N32</f>
        <v>#DIV/0!</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t="e">
        <f>+U32-(PI()*U24/10)</f>
        <v>#DIV/0!</v>
      </c>
      <c r="V33" s="173" t="s">
        <v>26</v>
      </c>
      <c r="W33" s="33" t="e">
        <f>1/1.97*(+U33*((170.18/U$14)^1)-30.22)</f>
        <v>#DIV/0!</v>
      </c>
      <c r="X33" s="172"/>
      <c r="Y33" s="173"/>
      <c r="Z33" s="174"/>
      <c r="AA33" s="145"/>
    </row>
    <row r="34" spans="1:27" ht="18" customHeight="1" thickBot="1">
      <c r="B34" s="161" t="str">
        <f>IF(Info!D34,"Humerus breadth","D Húmero")</f>
        <v>Humerus breadth</v>
      </c>
      <c r="C34" s="116"/>
      <c r="D34" s="116"/>
      <c r="E34" s="122"/>
      <c r="F34" s="110"/>
      <c r="G34" s="87"/>
      <c r="H34" s="87"/>
      <c r="I34" s="87"/>
      <c r="J34" s="134"/>
      <c r="K34" s="151"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51"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1</v>
      </c>
      <c r="F40" s="223">
        <f>IF(H13=I13,1,0)</f>
        <v>1</v>
      </c>
      <c r="G40" s="223">
        <f>IF(I13="",0,1)</f>
        <v>0</v>
      </c>
      <c r="H40" s="222" t="e">
        <f>IF(L13="Yes",1,0)</f>
        <v>#DIV/0!</v>
      </c>
      <c r="I40" s="224">
        <f>COUNTIF(G13,"")</f>
        <v>1</v>
      </c>
      <c r="J40" s="224">
        <f>COUNTIF(H13,"")</f>
        <v>1</v>
      </c>
      <c r="K40" s="224"/>
      <c r="L40" s="225"/>
      <c r="M40" s="225"/>
      <c r="N40" s="224"/>
      <c r="Q40" s="113"/>
      <c r="R40" s="113"/>
      <c r="S40" s="226" t="str">
        <f>'3'!S40</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1</v>
      </c>
      <c r="F41" s="223">
        <f t="shared" ref="F41:F62" si="10">IF(H14=I14,1,0)</f>
        <v>1</v>
      </c>
      <c r="G41" s="223">
        <f t="shared" ref="G41:G62" si="11">IF(I14="",0,1)</f>
        <v>0</v>
      </c>
      <c r="H41" s="222" t="e">
        <f t="shared" ref="H41:H62" si="12">IF(L14="Yes",1,0)</f>
        <v>#DIV/0!</v>
      </c>
      <c r="I41" s="224">
        <f t="shared" ref="I41:J56" si="13">COUNTIF(G14,"")</f>
        <v>1</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1</v>
      </c>
      <c r="F44" s="223">
        <f t="shared" si="10"/>
        <v>1</v>
      </c>
      <c r="G44" s="223">
        <f t="shared" si="11"/>
        <v>0</v>
      </c>
      <c r="H44" s="222" t="e">
        <f t="shared" si="12"/>
        <v>#DIV/0!</v>
      </c>
      <c r="I44" s="224">
        <f t="shared" si="13"/>
        <v>1</v>
      </c>
      <c r="J44" s="224">
        <f t="shared" si="13"/>
        <v>1</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22"/>
      <c r="D45" s="223">
        <f t="shared" si="8"/>
        <v>1</v>
      </c>
      <c r="E45" s="223">
        <f t="shared" si="9"/>
        <v>1</v>
      </c>
      <c r="F45" s="223">
        <f t="shared" si="10"/>
        <v>1</v>
      </c>
      <c r="G45" s="223">
        <f t="shared" si="11"/>
        <v>0</v>
      </c>
      <c r="H45" s="222" t="e">
        <f t="shared" si="12"/>
        <v>#DIV/0!</v>
      </c>
      <c r="I45" s="224">
        <f t="shared" si="13"/>
        <v>1</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1</v>
      </c>
      <c r="F46" s="223">
        <f t="shared" si="10"/>
        <v>1</v>
      </c>
      <c r="G46" s="223">
        <f t="shared" si="11"/>
        <v>0</v>
      </c>
      <c r="H46" s="222" t="e">
        <f t="shared" si="12"/>
        <v>#DIV/0!</v>
      </c>
      <c r="I46" s="224">
        <f t="shared" si="13"/>
        <v>1</v>
      </c>
      <c r="J46" s="224">
        <f t="shared" si="13"/>
        <v>1</v>
      </c>
      <c r="K46" s="224"/>
      <c r="L46" s="225"/>
      <c r="M46" s="225"/>
      <c r="N46" s="224"/>
      <c r="O46" s="104"/>
      <c r="P46" s="104"/>
      <c r="Q46" s="113"/>
      <c r="R46" s="113"/>
      <c r="S46" s="226" t="str">
        <f>'3'!S46</f>
        <v>Waist/Hip ratio</v>
      </c>
      <c r="T46" s="124"/>
      <c r="U46" s="232" t="e">
        <f>+U28/U29</f>
        <v>#DIV/0!</v>
      </c>
      <c r="V46" s="126"/>
      <c r="W46" s="233"/>
      <c r="X46" s="201"/>
      <c r="Y46" s="126"/>
      <c r="Z46" s="115"/>
      <c r="AA46" s="115"/>
    </row>
    <row r="47" spans="1:27" s="109" customFormat="1">
      <c r="A47" s="234"/>
      <c r="B47" s="223" t="str">
        <f t="shared" si="7"/>
        <v>Iliac crest sf</v>
      </c>
      <c r="C47" s="222"/>
      <c r="D47" s="223">
        <f t="shared" si="8"/>
        <v>1</v>
      </c>
      <c r="E47" s="223">
        <f t="shared" si="9"/>
        <v>1</v>
      </c>
      <c r="F47" s="223">
        <f t="shared" si="10"/>
        <v>1</v>
      </c>
      <c r="G47" s="223">
        <f t="shared" si="11"/>
        <v>0</v>
      </c>
      <c r="H47" s="222" t="e">
        <f t="shared" si="12"/>
        <v>#DIV/0!</v>
      </c>
      <c r="I47" s="224">
        <f t="shared" si="13"/>
        <v>1</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1</v>
      </c>
      <c r="F48" s="223">
        <f t="shared" si="10"/>
        <v>1</v>
      </c>
      <c r="G48" s="223">
        <f t="shared" si="11"/>
        <v>0</v>
      </c>
      <c r="H48" s="222" t="e">
        <f t="shared" si="12"/>
        <v>#DIV/0!</v>
      </c>
      <c r="I48" s="224">
        <f t="shared" si="13"/>
        <v>1</v>
      </c>
      <c r="J48" s="224">
        <f t="shared" si="13"/>
        <v>1</v>
      </c>
      <c r="K48" s="224"/>
      <c r="L48" s="224"/>
      <c r="M48" s="224"/>
      <c r="N48" s="224"/>
      <c r="O48" s="104"/>
      <c r="P48" s="104"/>
      <c r="Q48" s="113"/>
      <c r="R48" s="113"/>
      <c r="S48" s="226" t="str">
        <f>'3'!S48</f>
        <v>Sum of 6 skinfolds</v>
      </c>
      <c r="T48" s="104"/>
      <c r="U48" s="235" t="e">
        <f>SUM(U17:U18,U21:U24)</f>
        <v>#DIV/0!</v>
      </c>
      <c r="V48" s="227" t="str">
        <f>'3'!V48</f>
        <v>mm</v>
      </c>
      <c r="W48" s="233"/>
      <c r="X48" s="201"/>
      <c r="Y48" s="126"/>
      <c r="Z48" s="115"/>
      <c r="AA48" s="115"/>
    </row>
    <row r="49" spans="1:27" s="109" customFormat="1">
      <c r="B49" s="223" t="str">
        <f t="shared" si="7"/>
        <v>Abdominal sf</v>
      </c>
      <c r="C49" s="222"/>
      <c r="D49" s="223">
        <f t="shared" si="8"/>
        <v>1</v>
      </c>
      <c r="E49" s="223">
        <f t="shared" si="9"/>
        <v>1</v>
      </c>
      <c r="F49" s="223">
        <f t="shared" si="10"/>
        <v>1</v>
      </c>
      <c r="G49" s="223">
        <f t="shared" si="11"/>
        <v>0</v>
      </c>
      <c r="H49" s="222" t="e">
        <f t="shared" si="12"/>
        <v>#DIV/0!</v>
      </c>
      <c r="I49" s="224">
        <f>COUNTIF(G22,"")</f>
        <v>1</v>
      </c>
      <c r="J49" s="224">
        <f t="shared" si="13"/>
        <v>1</v>
      </c>
      <c r="K49" s="224"/>
      <c r="L49" s="224"/>
      <c r="M49" s="224"/>
      <c r="N49" s="224"/>
      <c r="Q49" s="236"/>
      <c r="R49" s="236"/>
      <c r="S49" s="226" t="str">
        <f>'3'!S49</f>
        <v>Sum of 8 skinfolds</v>
      </c>
      <c r="T49" s="104"/>
      <c r="U49" s="235" t="e">
        <f>SUM(U17:U24)</f>
        <v>#DIV/0!</v>
      </c>
      <c r="V49" s="227" t="str">
        <f>'3'!V49</f>
        <v>mm</v>
      </c>
      <c r="W49" s="126"/>
      <c r="X49" s="232"/>
      <c r="Y49" s="126"/>
      <c r="Z49" s="115"/>
      <c r="AA49" s="115"/>
    </row>
    <row r="50" spans="1:27">
      <c r="A50" s="109"/>
      <c r="B50" s="223" t="str">
        <f t="shared" si="7"/>
        <v>Thigh sf</v>
      </c>
      <c r="C50" s="222"/>
      <c r="D50" s="223">
        <f t="shared" si="8"/>
        <v>1</v>
      </c>
      <c r="E50" s="223">
        <f t="shared" si="9"/>
        <v>1</v>
      </c>
      <c r="F50" s="223">
        <f t="shared" si="10"/>
        <v>1</v>
      </c>
      <c r="G50" s="223">
        <f t="shared" si="11"/>
        <v>0</v>
      </c>
      <c r="H50" s="222" t="e">
        <f t="shared" si="12"/>
        <v>#DIV/0!</v>
      </c>
      <c r="I50" s="224">
        <f t="shared" si="13"/>
        <v>1</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1</v>
      </c>
      <c r="F51" s="223">
        <f t="shared" si="10"/>
        <v>1</v>
      </c>
      <c r="G51" s="223">
        <f t="shared" si="11"/>
        <v>0</v>
      </c>
      <c r="H51" s="222" t="e">
        <f t="shared" si="12"/>
        <v>#DIV/0!</v>
      </c>
      <c r="I51" s="224">
        <f t="shared" si="13"/>
        <v>1</v>
      </c>
      <c r="J51" s="224">
        <f t="shared" si="13"/>
        <v>1</v>
      </c>
      <c r="K51" s="224"/>
      <c r="L51" s="224"/>
      <c r="M51" s="224"/>
      <c r="N51" s="224"/>
      <c r="Q51" s="113"/>
      <c r="R51" s="113"/>
      <c r="S51" s="226" t="str">
        <f>'3'!S51</f>
        <v>Fat percentage</v>
      </c>
      <c r="T51" s="238"/>
      <c r="U51" s="35" t="e">
        <f>IF(U8=1,0.735*(U17+U24)+1,0.61*(U17+U24)+5.1)</f>
        <v>#DIV/0!</v>
      </c>
      <c r="V51" s="227" t="str">
        <f>'3'!V51</f>
        <v>(Slaughter)</v>
      </c>
      <c r="X51" s="229"/>
      <c r="Y51" s="124"/>
      <c r="Z51" s="145"/>
      <c r="AA51" s="145"/>
    </row>
    <row r="52" spans="1:27">
      <c r="B52" s="223" t="str">
        <f t="shared" si="7"/>
        <v>Arm girth relaxed</v>
      </c>
      <c r="C52" s="222"/>
      <c r="D52" s="223">
        <f t="shared" si="8"/>
        <v>1</v>
      </c>
      <c r="E52" s="223">
        <f t="shared" si="9"/>
        <v>1</v>
      </c>
      <c r="F52" s="223">
        <f t="shared" si="10"/>
        <v>1</v>
      </c>
      <c r="G52" s="223">
        <f t="shared" si="11"/>
        <v>0</v>
      </c>
      <c r="H52" s="222" t="e">
        <f t="shared" si="12"/>
        <v>#DIV/0!</v>
      </c>
      <c r="I52" s="224">
        <f t="shared" si="13"/>
        <v>1</v>
      </c>
      <c r="J52" s="224">
        <f t="shared" si="13"/>
        <v>1</v>
      </c>
      <c r="K52" s="224"/>
      <c r="L52" s="224"/>
      <c r="M52" s="224"/>
      <c r="N52" s="224"/>
      <c r="Q52" s="113"/>
      <c r="R52" s="113"/>
      <c r="U52" s="35" t="e">
        <f>IF(U8=1,0.153*(U17+U18+U21+U22)+5.783,0.213*(U17+U18+U21+U22)+7.9)</f>
        <v>#DIV/0!</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t="e">
        <f>IF(U8=1,0.1051*(U48)+2.58,0.1548*(U48)+3.58)</f>
        <v>#DIV/0!</v>
      </c>
      <c r="V53" s="227" t="str">
        <f>'3'!V53</f>
        <v>(Carter, from Yuhasz)</v>
      </c>
      <c r="X53" s="229"/>
      <c r="Y53" s="227"/>
      <c r="Z53" s="145"/>
      <c r="AA53" s="145"/>
    </row>
    <row r="54" spans="1:27">
      <c r="B54" s="223" t="str">
        <f t="shared" si="7"/>
        <v>Arm girth flexed and tensed</v>
      </c>
      <c r="C54" s="222"/>
      <c r="D54" s="223">
        <f t="shared" si="8"/>
        <v>1</v>
      </c>
      <c r="E54" s="223">
        <f t="shared" si="9"/>
        <v>1</v>
      </c>
      <c r="F54" s="223">
        <f t="shared" si="10"/>
        <v>1</v>
      </c>
      <c r="G54" s="223">
        <f t="shared" si="11"/>
        <v>0</v>
      </c>
      <c r="H54" s="222" t="e">
        <f t="shared" si="12"/>
        <v>#DIV/0!</v>
      </c>
      <c r="I54" s="224">
        <f t="shared" si="13"/>
        <v>1</v>
      </c>
      <c r="J54" s="224">
        <f t="shared" si="13"/>
        <v>1</v>
      </c>
      <c r="K54" s="224"/>
      <c r="L54" s="224"/>
      <c r="M54" s="224"/>
      <c r="N54" s="224"/>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22"/>
      <c r="D55" s="223">
        <f t="shared" si="8"/>
        <v>1</v>
      </c>
      <c r="E55" s="223">
        <f t="shared" si="9"/>
        <v>1</v>
      </c>
      <c r="F55" s="223">
        <f t="shared" si="10"/>
        <v>1</v>
      </c>
      <c r="G55" s="223">
        <f t="shared" si="11"/>
        <v>0</v>
      </c>
      <c r="H55" s="222" t="e">
        <f t="shared" si="12"/>
        <v>#DIV/0!</v>
      </c>
      <c r="I55" s="224">
        <f t="shared" si="13"/>
        <v>1</v>
      </c>
      <c r="J55" s="224">
        <f t="shared" si="13"/>
        <v>1</v>
      </c>
      <c r="K55" s="224"/>
      <c r="L55" s="224">
        <f>COUNTIF(L13:L36,"yes")</f>
        <v>0</v>
      </c>
      <c r="M55" s="224"/>
      <c r="N55" s="224"/>
      <c r="Q55" s="113"/>
      <c r="R55" s="113"/>
      <c r="U55" s="35" t="e">
        <f>(U14/100*((0.0064*(U26^2))+(0.0032*(U31^2))+(0.0015*(U33^2)))+(2.56*IF(U8=1,1,0))+(0.136*(U10-U11)/365.25))*100/U13</f>
        <v>#DIV/0!</v>
      </c>
      <c r="V55" s="239" t="str">
        <f>'3'!V55</f>
        <v>(Poortmans)</v>
      </c>
      <c r="X55" s="240"/>
      <c r="Y55" s="227"/>
      <c r="Z55" s="145"/>
      <c r="AA55" s="145"/>
    </row>
    <row r="56" spans="1:27">
      <c r="B56" s="223" t="str">
        <f t="shared" si="7"/>
        <v>Hips girth</v>
      </c>
      <c r="C56" s="222"/>
      <c r="D56" s="223">
        <f t="shared" si="8"/>
        <v>1</v>
      </c>
      <c r="E56" s="223">
        <f t="shared" si="9"/>
        <v>1</v>
      </c>
      <c r="F56" s="223">
        <f t="shared" si="10"/>
        <v>1</v>
      </c>
      <c r="G56" s="223">
        <f t="shared" si="11"/>
        <v>0</v>
      </c>
      <c r="H56" s="222" t="e">
        <f t="shared" si="12"/>
        <v>#DIV/0!</v>
      </c>
      <c r="I56" s="224">
        <f t="shared" si="13"/>
        <v>1</v>
      </c>
      <c r="J56" s="224">
        <f t="shared" si="13"/>
        <v>1</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1</v>
      </c>
      <c r="E57" s="223">
        <f t="shared" si="9"/>
        <v>1</v>
      </c>
      <c r="F57" s="223">
        <f t="shared" si="10"/>
        <v>1</v>
      </c>
      <c r="G57" s="223">
        <f t="shared" si="11"/>
        <v>0</v>
      </c>
      <c r="H57" s="222" t="e">
        <f t="shared" si="12"/>
        <v>#DIV/0!</v>
      </c>
      <c r="I57" s="224">
        <f t="shared" ref="I57:J62" si="14">COUNTIF(G30,"")</f>
        <v>1</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1</v>
      </c>
      <c r="F59" s="223">
        <f t="shared" si="10"/>
        <v>1</v>
      </c>
      <c r="G59" s="223">
        <f t="shared" si="11"/>
        <v>0</v>
      </c>
      <c r="H59" s="222" t="e">
        <f t="shared" si="12"/>
        <v>#DIV/0!</v>
      </c>
      <c r="I59" s="224">
        <f t="shared" si="14"/>
        <v>1</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4"/>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4"/>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21</v>
      </c>
      <c r="E64" s="223">
        <f t="shared" si="15"/>
        <v>21</v>
      </c>
      <c r="F64" s="223">
        <f t="shared" si="15"/>
        <v>21</v>
      </c>
      <c r="G64" s="223">
        <f t="shared" si="15"/>
        <v>0</v>
      </c>
      <c r="H64" s="223" t="e">
        <f t="shared" si="15"/>
        <v>#DIV/0!</v>
      </c>
      <c r="I64" s="224">
        <f t="shared" si="15"/>
        <v>21</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24">
        <f>ABS(G67-H67)</f>
        <v>0</v>
      </c>
      <c r="K67" s="224">
        <f>ABS(I67-G67)</f>
        <v>0</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24">
        <f t="shared" ref="J68:J87" si="18">ABS(G68-H68)</f>
        <v>0</v>
      </c>
      <c r="K68" s="224">
        <f t="shared" ref="K68:K87" si="19">ABS(I68-G68)</f>
        <v>0</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0</v>
      </c>
      <c r="H71" s="245">
        <f t="shared" si="16"/>
        <v>0</v>
      </c>
      <c r="I71" s="245">
        <f t="shared" si="16"/>
        <v>0</v>
      </c>
      <c r="J71" s="224">
        <f t="shared" si="18"/>
        <v>0</v>
      </c>
      <c r="K71" s="224">
        <f t="shared" si="19"/>
        <v>0</v>
      </c>
      <c r="L71" s="224">
        <f t="shared" si="20"/>
        <v>0</v>
      </c>
      <c r="M71" s="246">
        <f t="shared" si="21"/>
        <v>0</v>
      </c>
      <c r="N71" s="246">
        <f t="shared" si="22"/>
        <v>0</v>
      </c>
    </row>
    <row r="72" spans="1:22" s="247" customFormat="1">
      <c r="B72" s="269" t="str">
        <f t="shared" si="17"/>
        <v>Subscapular sf</v>
      </c>
      <c r="C72" s="269"/>
      <c r="D72" s="269"/>
      <c r="E72" s="269"/>
      <c r="F72" s="269"/>
      <c r="G72" s="245">
        <f t="shared" si="16"/>
        <v>0</v>
      </c>
      <c r="H72" s="245">
        <f t="shared" si="16"/>
        <v>0</v>
      </c>
      <c r="I72" s="245">
        <f t="shared" si="16"/>
        <v>0</v>
      </c>
      <c r="J72" s="224">
        <f t="shared" si="18"/>
        <v>0</v>
      </c>
      <c r="K72" s="224">
        <f t="shared" si="19"/>
        <v>0</v>
      </c>
      <c r="L72" s="224">
        <f t="shared" si="20"/>
        <v>0</v>
      </c>
      <c r="M72" s="246">
        <f t="shared" si="21"/>
        <v>0</v>
      </c>
      <c r="N72" s="246">
        <f t="shared" si="22"/>
        <v>0</v>
      </c>
    </row>
    <row r="73" spans="1:22" s="247" customFormat="1">
      <c r="B73" s="269" t="str">
        <f t="shared" si="17"/>
        <v>Biceps sf</v>
      </c>
      <c r="C73" s="269"/>
      <c r="D73" s="269"/>
      <c r="E73" s="269"/>
      <c r="F73" s="269"/>
      <c r="G73" s="245">
        <f t="shared" si="16"/>
        <v>0</v>
      </c>
      <c r="H73" s="245">
        <f t="shared" si="16"/>
        <v>0</v>
      </c>
      <c r="I73" s="245">
        <f t="shared" si="16"/>
        <v>0</v>
      </c>
      <c r="J73" s="224">
        <f t="shared" si="18"/>
        <v>0</v>
      </c>
      <c r="K73" s="224">
        <f t="shared" si="19"/>
        <v>0</v>
      </c>
      <c r="L73" s="224">
        <f t="shared" si="20"/>
        <v>0</v>
      </c>
      <c r="M73" s="246">
        <f t="shared" si="21"/>
        <v>0</v>
      </c>
      <c r="N73" s="246">
        <f t="shared" si="22"/>
        <v>0</v>
      </c>
    </row>
    <row r="74" spans="1:22" s="247" customFormat="1">
      <c r="B74" s="269" t="str">
        <f t="shared" si="17"/>
        <v>Iliac crest sf</v>
      </c>
      <c r="C74" s="269"/>
      <c r="D74" s="269"/>
      <c r="E74" s="269"/>
      <c r="F74" s="269"/>
      <c r="G74" s="245">
        <f t="shared" si="16"/>
        <v>0</v>
      </c>
      <c r="H74" s="245">
        <f t="shared" si="16"/>
        <v>0</v>
      </c>
      <c r="I74" s="245">
        <f t="shared" si="16"/>
        <v>0</v>
      </c>
      <c r="J74" s="224">
        <f t="shared" si="18"/>
        <v>0</v>
      </c>
      <c r="K74" s="224">
        <f t="shared" si="19"/>
        <v>0</v>
      </c>
      <c r="L74" s="224">
        <f t="shared" si="20"/>
        <v>0</v>
      </c>
      <c r="M74" s="246">
        <f t="shared" si="21"/>
        <v>0</v>
      </c>
      <c r="N74" s="246">
        <f t="shared" si="22"/>
        <v>0</v>
      </c>
    </row>
    <row r="75" spans="1:22" s="247" customFormat="1">
      <c r="B75" s="269" t="str">
        <f t="shared" si="17"/>
        <v>Supraspinale sf</v>
      </c>
      <c r="C75" s="269"/>
      <c r="D75" s="269"/>
      <c r="E75" s="269"/>
      <c r="F75" s="269"/>
      <c r="G75" s="245">
        <f t="shared" si="16"/>
        <v>0</v>
      </c>
      <c r="H75" s="245">
        <f t="shared" si="16"/>
        <v>0</v>
      </c>
      <c r="I75" s="245">
        <f t="shared" si="16"/>
        <v>0</v>
      </c>
      <c r="J75" s="224">
        <f t="shared" si="18"/>
        <v>0</v>
      </c>
      <c r="K75" s="224">
        <f t="shared" si="19"/>
        <v>0</v>
      </c>
      <c r="L75" s="224">
        <f t="shared" si="20"/>
        <v>0</v>
      </c>
      <c r="M75" s="246">
        <f t="shared" si="21"/>
        <v>0</v>
      </c>
      <c r="N75" s="246">
        <f t="shared" si="22"/>
        <v>0</v>
      </c>
    </row>
    <row r="76" spans="1:22" s="247" customFormat="1">
      <c r="B76" s="269" t="str">
        <f t="shared" si="17"/>
        <v>Abdominal sf</v>
      </c>
      <c r="C76" s="269"/>
      <c r="D76" s="269"/>
      <c r="E76" s="269"/>
      <c r="F76" s="269"/>
      <c r="G76" s="245">
        <f t="shared" si="16"/>
        <v>0</v>
      </c>
      <c r="H76" s="245">
        <f t="shared" si="16"/>
        <v>0</v>
      </c>
      <c r="I76" s="245">
        <f t="shared" si="16"/>
        <v>0</v>
      </c>
      <c r="J76" s="224">
        <f t="shared" si="18"/>
        <v>0</v>
      </c>
      <c r="K76" s="224">
        <f t="shared" si="19"/>
        <v>0</v>
      </c>
      <c r="L76" s="224">
        <f t="shared" si="20"/>
        <v>0</v>
      </c>
      <c r="M76" s="246">
        <f t="shared" si="21"/>
        <v>0</v>
      </c>
      <c r="N76" s="246">
        <f t="shared" si="22"/>
        <v>0</v>
      </c>
    </row>
    <row r="77" spans="1:22" s="247" customFormat="1">
      <c r="A77" s="244"/>
      <c r="B77" s="269" t="str">
        <f t="shared" si="17"/>
        <v>Thigh sf</v>
      </c>
      <c r="C77" s="269"/>
      <c r="D77" s="269"/>
      <c r="E77" s="269"/>
      <c r="F77" s="269"/>
      <c r="G77" s="245">
        <f t="shared" si="16"/>
        <v>0</v>
      </c>
      <c r="H77" s="245">
        <f t="shared" si="16"/>
        <v>0</v>
      </c>
      <c r="I77" s="245">
        <f t="shared" si="16"/>
        <v>0</v>
      </c>
      <c r="J77" s="224">
        <f t="shared" si="18"/>
        <v>0</v>
      </c>
      <c r="K77" s="224">
        <f t="shared" si="19"/>
        <v>0</v>
      </c>
      <c r="L77" s="224">
        <f t="shared" si="20"/>
        <v>0</v>
      </c>
      <c r="M77" s="246">
        <f t="shared" si="21"/>
        <v>0</v>
      </c>
      <c r="N77" s="246">
        <f t="shared" si="22"/>
        <v>0</v>
      </c>
    </row>
    <row r="78" spans="1:22" s="247" customFormat="1">
      <c r="B78" s="269" t="str">
        <f t="shared" si="17"/>
        <v>Calf sf</v>
      </c>
      <c r="C78" s="269"/>
      <c r="D78" s="269"/>
      <c r="E78" s="269"/>
      <c r="F78" s="269"/>
      <c r="G78" s="245">
        <f t="shared" si="16"/>
        <v>0</v>
      </c>
      <c r="H78" s="245">
        <f t="shared" si="16"/>
        <v>0</v>
      </c>
      <c r="I78" s="245">
        <f t="shared" si="16"/>
        <v>0</v>
      </c>
      <c r="J78" s="224">
        <f t="shared" si="18"/>
        <v>0</v>
      </c>
      <c r="K78" s="224">
        <f t="shared" si="19"/>
        <v>0</v>
      </c>
      <c r="L78" s="224">
        <f t="shared" si="20"/>
        <v>0</v>
      </c>
      <c r="M78" s="246">
        <f t="shared" si="21"/>
        <v>0</v>
      </c>
      <c r="N78" s="246">
        <f t="shared" si="22"/>
        <v>0</v>
      </c>
    </row>
    <row r="79" spans="1:22" s="247" customFormat="1">
      <c r="B79" s="269" t="str">
        <f t="shared" si="17"/>
        <v>Arm girth relaxed</v>
      </c>
      <c r="C79" s="269"/>
      <c r="D79" s="269"/>
      <c r="E79" s="269"/>
      <c r="F79" s="269"/>
      <c r="G79" s="245">
        <f t="shared" si="16"/>
        <v>0</v>
      </c>
      <c r="H79" s="245">
        <f t="shared" si="16"/>
        <v>0</v>
      </c>
      <c r="I79" s="245">
        <f t="shared" si="16"/>
        <v>0</v>
      </c>
      <c r="J79" s="224">
        <f t="shared" si="18"/>
        <v>0</v>
      </c>
      <c r="K79" s="224">
        <f t="shared" si="19"/>
        <v>0</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0</v>
      </c>
      <c r="H80" s="245">
        <f t="shared" si="23"/>
        <v>0</v>
      </c>
      <c r="I80" s="245">
        <f t="shared" si="23"/>
        <v>0</v>
      </c>
      <c r="J80" s="224">
        <f t="shared" si="18"/>
        <v>0</v>
      </c>
      <c r="K80" s="224">
        <f t="shared" si="19"/>
        <v>0</v>
      </c>
      <c r="L80" s="224">
        <f t="shared" si="20"/>
        <v>0</v>
      </c>
      <c r="M80" s="246">
        <f t="shared" si="21"/>
        <v>0</v>
      </c>
      <c r="N80" s="246">
        <f t="shared" si="22"/>
        <v>0</v>
      </c>
    </row>
    <row r="81" spans="1:14" s="247" customFormat="1">
      <c r="B81" s="269" t="str">
        <f>B28</f>
        <v>Waist girth</v>
      </c>
      <c r="C81" s="269"/>
      <c r="D81" s="269"/>
      <c r="E81" s="269"/>
      <c r="F81" s="269"/>
      <c r="G81" s="245">
        <f t="shared" si="23"/>
        <v>0</v>
      </c>
      <c r="H81" s="245">
        <f t="shared" si="23"/>
        <v>0</v>
      </c>
      <c r="I81" s="245">
        <f t="shared" si="23"/>
        <v>0</v>
      </c>
      <c r="J81" s="224">
        <f t="shared" si="18"/>
        <v>0</v>
      </c>
      <c r="K81" s="224">
        <f t="shared" si="19"/>
        <v>0</v>
      </c>
      <c r="L81" s="224">
        <f t="shared" si="20"/>
        <v>0</v>
      </c>
      <c r="M81" s="246">
        <f t="shared" si="21"/>
        <v>0</v>
      </c>
      <c r="N81" s="246">
        <f t="shared" si="22"/>
        <v>0</v>
      </c>
    </row>
    <row r="82" spans="1:14" s="247" customFormat="1">
      <c r="B82" s="269" t="str">
        <f>B29</f>
        <v>Hips girth</v>
      </c>
      <c r="C82" s="269"/>
      <c r="D82" s="269"/>
      <c r="E82" s="269"/>
      <c r="F82" s="269"/>
      <c r="G82" s="245">
        <f t="shared" si="23"/>
        <v>0</v>
      </c>
      <c r="H82" s="245">
        <f t="shared" si="23"/>
        <v>0</v>
      </c>
      <c r="I82" s="245">
        <f t="shared" si="23"/>
        <v>0</v>
      </c>
      <c r="J82" s="224">
        <f t="shared" si="18"/>
        <v>0</v>
      </c>
      <c r="K82" s="224">
        <f t="shared" si="19"/>
        <v>0</v>
      </c>
      <c r="L82" s="224">
        <f t="shared" si="20"/>
        <v>0</v>
      </c>
      <c r="M82" s="246">
        <f t="shared" si="21"/>
        <v>0</v>
      </c>
      <c r="N82" s="246">
        <f t="shared" si="22"/>
        <v>0</v>
      </c>
    </row>
    <row r="83" spans="1:14">
      <c r="A83" s="247"/>
      <c r="B83" s="269" t="str">
        <f>B30</f>
        <v>Thigh middle girth</v>
      </c>
      <c r="C83" s="269"/>
      <c r="D83" s="269"/>
      <c r="E83" s="269"/>
      <c r="F83" s="269"/>
      <c r="G83" s="245">
        <f t="shared" si="23"/>
        <v>0</v>
      </c>
      <c r="H83" s="245">
        <f t="shared" si="23"/>
        <v>0</v>
      </c>
      <c r="I83" s="245">
        <f t="shared" si="23"/>
        <v>0</v>
      </c>
      <c r="J83" s="224">
        <f t="shared" si="18"/>
        <v>0</v>
      </c>
      <c r="K83" s="224">
        <f t="shared" si="19"/>
        <v>0</v>
      </c>
      <c r="L83" s="224">
        <f t="shared" si="20"/>
        <v>0</v>
      </c>
      <c r="M83" s="246">
        <f t="shared" si="21"/>
        <v>0</v>
      </c>
      <c r="N83" s="246">
        <f t="shared" si="22"/>
        <v>0</v>
      </c>
    </row>
    <row r="84" spans="1:14">
      <c r="B84" s="269" t="str">
        <f>B32</f>
        <v>Calf girth</v>
      </c>
      <c r="C84" s="269"/>
      <c r="D84" s="269"/>
      <c r="E84" s="269"/>
      <c r="F84" s="269"/>
      <c r="G84" s="245">
        <f>+G32</f>
        <v>0</v>
      </c>
      <c r="H84" s="245">
        <f>+H32</f>
        <v>0</v>
      </c>
      <c r="I84" s="245">
        <f>+I32</f>
        <v>0</v>
      </c>
      <c r="J84" s="224">
        <f t="shared" si="18"/>
        <v>0</v>
      </c>
      <c r="K84" s="224">
        <f t="shared" si="19"/>
        <v>0</v>
      </c>
      <c r="L84" s="224">
        <f t="shared" si="20"/>
        <v>0</v>
      </c>
      <c r="M84" s="246">
        <f t="shared" si="21"/>
        <v>0</v>
      </c>
      <c r="N84" s="246">
        <f t="shared" si="22"/>
        <v>0</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D/4B9QeoL3NUdaXHfTdLBlcG3/dUscHI/hgGr3lHzOLVUAZukuS9CRDOwEtNAfRLmXi1pztjImEADqZw9914A==" saltValue="MNaeaBRmPBj3PDREw7zPkQ=="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91"/>
  <sheetViews>
    <sheetView topLeftCell="B1" zoomScaleNormal="75" zoomScaleSheetLayoutView="75" workbookViewId="0">
      <selection activeCell="H27" sqref="H27"/>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47</v>
      </c>
      <c r="H4" s="71"/>
      <c r="I4" s="72"/>
      <c r="J4" s="118"/>
      <c r="K4" s="118"/>
      <c r="L4" s="111"/>
      <c r="M4" s="111"/>
      <c r="N4" s="111"/>
      <c r="O4" s="104"/>
      <c r="P4" s="104"/>
      <c r="Q4" s="113"/>
      <c r="R4" s="105" t="str">
        <f t="shared" ref="R4:R11" si="0">+B4</f>
        <v>Name</v>
      </c>
      <c r="S4" s="119"/>
      <c r="T4" s="119"/>
      <c r="U4" s="120" t="str">
        <f t="shared" ref="U4:U11" si="1">+G4</f>
        <v>Joaquin</v>
      </c>
      <c r="V4" s="107"/>
      <c r="W4" s="107"/>
      <c r="X4" s="121"/>
      <c r="Y4" s="107"/>
      <c r="Z4" s="108"/>
      <c r="AA4" s="115"/>
    </row>
    <row r="5" spans="1:27" s="109" customFormat="1">
      <c r="B5" s="116" t="str">
        <f>IF(Info!D34,"Surname","Apellidos")</f>
        <v>Surname</v>
      </c>
      <c r="C5" s="116"/>
      <c r="D5" s="116"/>
      <c r="E5" s="110"/>
      <c r="F5" s="112"/>
      <c r="G5" s="81" t="s">
        <v>48</v>
      </c>
      <c r="H5" s="73"/>
      <c r="I5" s="74"/>
      <c r="J5" s="122"/>
      <c r="K5" s="122"/>
      <c r="L5" s="122"/>
      <c r="M5" s="122"/>
      <c r="N5" s="123"/>
      <c r="O5" s="104"/>
      <c r="P5" s="104"/>
      <c r="Q5" s="113"/>
      <c r="R5" s="113" t="str">
        <f t="shared" si="0"/>
        <v>Surname</v>
      </c>
      <c r="S5" s="124"/>
      <c r="T5" s="124"/>
      <c r="U5" s="125" t="str">
        <f t="shared" si="1"/>
        <v>Camborda</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63</v>
      </c>
      <c r="H9" s="75"/>
      <c r="I9" s="76"/>
      <c r="J9" s="111"/>
      <c r="K9" s="111"/>
      <c r="L9" s="111"/>
      <c r="M9" s="111"/>
      <c r="N9" s="111"/>
      <c r="O9" s="104"/>
      <c r="P9" s="104"/>
      <c r="Q9" s="113"/>
      <c r="R9" s="113" t="str">
        <f t="shared" si="0"/>
        <v>Sport</v>
      </c>
      <c r="S9" s="124"/>
      <c r="T9" s="124"/>
      <c r="U9" s="125" t="str">
        <f t="shared" si="1"/>
        <v>Gym</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44308</v>
      </c>
      <c r="H10" s="76"/>
      <c r="I10" s="76"/>
      <c r="J10" s="111"/>
      <c r="K10" s="111"/>
      <c r="L10" s="111"/>
      <c r="M10" s="111"/>
      <c r="N10" s="122"/>
      <c r="O10" s="104"/>
      <c r="P10" s="104"/>
      <c r="Q10" s="113"/>
      <c r="R10" s="113" t="str">
        <f t="shared" si="0"/>
        <v>Date of Measurement</v>
      </c>
      <c r="S10" s="124"/>
      <c r="T10" s="124"/>
      <c r="U10" s="131">
        <f t="shared" si="1"/>
        <v>44308</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36193</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36193</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77.400000000000006</v>
      </c>
      <c r="H13" s="84">
        <v>77.400000000000006</v>
      </c>
      <c r="I13" s="84"/>
      <c r="J13" s="150"/>
      <c r="K13" s="151">
        <f>+(H13-G13)/(AVERAGE(G13:H13))</f>
        <v>0</v>
      </c>
      <c r="L13" s="152" t="str">
        <f>IF(ABS(K13)&gt;1%,"Yes","No")</f>
        <v>No</v>
      </c>
      <c r="M13" s="150"/>
      <c r="N13" s="153">
        <f t="shared" ref="N13:N25" si="2">IF(I13=0,AVERAGE(G13,H13),MEDIAN(G13,H13,I13))</f>
        <v>77.400000000000006</v>
      </c>
      <c r="O13" s="154"/>
      <c r="P13" s="154"/>
      <c r="Q13" s="155"/>
      <c r="R13" s="156" t="str">
        <f t="shared" ref="R13:R36" si="3">+B13</f>
        <v>Mass</v>
      </c>
      <c r="S13" s="157"/>
      <c r="T13" s="157"/>
      <c r="U13" s="158">
        <f t="shared" ref="U13:U25" si="4">+N13</f>
        <v>77.400000000000006</v>
      </c>
      <c r="V13" s="159" t="s">
        <v>25</v>
      </c>
      <c r="W13" s="160">
        <f>1/8.6*(+U13*((170.18/U$14)^3)-64.58)</f>
        <v>0.6270559489493257</v>
      </c>
      <c r="X13" s="121"/>
      <c r="Y13" s="107"/>
      <c r="Z13" s="108"/>
      <c r="AA13" s="115"/>
    </row>
    <row r="14" spans="1:27" s="109" customFormat="1">
      <c r="B14" s="161" t="str">
        <f>IF(Info!D34,"Stature","Talla")</f>
        <v>Stature</v>
      </c>
      <c r="C14" s="116"/>
      <c r="D14" s="116"/>
      <c r="E14" s="122"/>
      <c r="F14" s="110"/>
      <c r="G14" s="85">
        <v>176</v>
      </c>
      <c r="H14" s="85">
        <v>176</v>
      </c>
      <c r="I14" s="85"/>
      <c r="J14" s="134"/>
      <c r="K14" s="162">
        <f t="shared" ref="K14:K34" si="5">+(H14-G14)/(AVERAGE(G14:H14))</f>
        <v>0</v>
      </c>
      <c r="L14" s="163" t="str">
        <f>IF(ABS(K14)&gt;1%,"Yes","No")</f>
        <v>No</v>
      </c>
      <c r="M14" s="134"/>
      <c r="N14" s="164">
        <f t="shared" si="2"/>
        <v>176</v>
      </c>
      <c r="O14" s="154"/>
      <c r="P14" s="154"/>
      <c r="Q14" s="155"/>
      <c r="R14" s="155" t="str">
        <f t="shared" si="3"/>
        <v>Stature</v>
      </c>
      <c r="S14" s="165"/>
      <c r="T14" s="165"/>
      <c r="U14" s="166">
        <f t="shared" si="4"/>
        <v>176</v>
      </c>
      <c r="V14" s="167" t="s">
        <v>26</v>
      </c>
      <c r="W14" s="132"/>
      <c r="X14" s="132"/>
      <c r="Y14" s="133"/>
      <c r="Z14" s="115"/>
      <c r="AA14" s="115"/>
    </row>
    <row r="15" spans="1:27" s="109" customFormat="1">
      <c r="B15" s="161" t="str">
        <f>IF(Info!D34,"Sitting height","Talla sentado")</f>
        <v>Sitting height</v>
      </c>
      <c r="C15" s="116"/>
      <c r="D15" s="116"/>
      <c r="E15" s="122"/>
      <c r="F15" s="110"/>
      <c r="G15" s="87">
        <v>94.5</v>
      </c>
      <c r="H15" s="87">
        <v>94.5</v>
      </c>
      <c r="I15" s="87"/>
      <c r="J15" s="134"/>
      <c r="K15" s="162">
        <f t="shared" si="5"/>
        <v>0</v>
      </c>
      <c r="L15" s="163" t="str">
        <f>IF(ABS(K15)&gt;1%,"Yes","No")</f>
        <v>No</v>
      </c>
      <c r="M15" s="134"/>
      <c r="N15" s="164">
        <f t="shared" si="2"/>
        <v>94.5</v>
      </c>
      <c r="O15" s="154"/>
      <c r="P15" s="154"/>
      <c r="Q15" s="155"/>
      <c r="R15" s="155" t="str">
        <f t="shared" si="3"/>
        <v>Sitting height</v>
      </c>
      <c r="S15" s="165"/>
      <c r="T15" s="165"/>
      <c r="U15" s="166">
        <f t="shared" si="4"/>
        <v>94.5</v>
      </c>
      <c r="V15" s="167" t="s">
        <v>26</v>
      </c>
      <c r="W15" s="32">
        <f>1/4.5*(+U15*((170.18/U$14)^1)-89.92)</f>
        <v>0.32334595959595919</v>
      </c>
      <c r="X15" s="132"/>
      <c r="Y15" s="133"/>
      <c r="Z15" s="115"/>
      <c r="AA15" s="115"/>
    </row>
    <row r="16" spans="1:27" s="109" customFormat="1" ht="13.8" thickBot="1">
      <c r="B16" s="161" t="str">
        <f>IF(Info!D34,"Arm Span","Envergadura de brazos")</f>
        <v>Arm Span</v>
      </c>
      <c r="C16" s="116"/>
      <c r="D16" s="116"/>
      <c r="E16" s="122"/>
      <c r="F16" s="110"/>
      <c r="G16" s="87">
        <v>170.3</v>
      </c>
      <c r="H16" s="87">
        <v>170</v>
      </c>
      <c r="I16" s="87"/>
      <c r="J16" s="134"/>
      <c r="K16" s="162">
        <f t="shared" si="5"/>
        <v>-1.7631501616221649E-3</v>
      </c>
      <c r="L16" s="163" t="str">
        <f>IF(ABS(K16)&gt;1%,"Yes","No")</f>
        <v>No</v>
      </c>
      <c r="M16" s="134"/>
      <c r="N16" s="164">
        <f t="shared" si="2"/>
        <v>170.15</v>
      </c>
      <c r="O16" s="154"/>
      <c r="P16" s="154"/>
      <c r="Q16" s="155"/>
      <c r="R16" s="168" t="str">
        <f t="shared" si="3"/>
        <v>Arm Span</v>
      </c>
      <c r="S16" s="169"/>
      <c r="T16" s="169"/>
      <c r="U16" s="170">
        <f t="shared" si="4"/>
        <v>170.15</v>
      </c>
      <c r="V16" s="171" t="s">
        <v>26</v>
      </c>
      <c r="W16" s="33">
        <f>1/7.41*(+U16*((170.18/U$14)^1)-172.35)</f>
        <v>-1.0562147282542016</v>
      </c>
      <c r="X16" s="172"/>
      <c r="Y16" s="173"/>
      <c r="Z16" s="174"/>
      <c r="AA16" s="115"/>
    </row>
    <row r="17" spans="1:27" ht="18" customHeight="1" thickTop="1">
      <c r="A17" s="109"/>
      <c r="B17" s="146" t="str">
        <f>IF(Info!D34,"Triceps sf","PL Tríceps")</f>
        <v>Triceps sf</v>
      </c>
      <c r="C17" s="147"/>
      <c r="D17" s="147"/>
      <c r="E17" s="148"/>
      <c r="F17" s="149"/>
      <c r="G17" s="84">
        <v>6</v>
      </c>
      <c r="H17" s="84">
        <v>6</v>
      </c>
      <c r="I17" s="84"/>
      <c r="J17" s="150"/>
      <c r="K17" s="151">
        <f t="shared" si="5"/>
        <v>0</v>
      </c>
      <c r="L17" s="152" t="str">
        <f t="shared" ref="L17:L24" si="6">IF(ABS(K17)&gt;5%,"Yes","No")</f>
        <v>No</v>
      </c>
      <c r="M17" s="150"/>
      <c r="N17" s="153">
        <f t="shared" si="2"/>
        <v>6</v>
      </c>
      <c r="O17" s="154"/>
      <c r="P17" s="154"/>
      <c r="Q17" s="155"/>
      <c r="R17" s="156" t="str">
        <f t="shared" si="3"/>
        <v>Triceps sf</v>
      </c>
      <c r="S17" s="157"/>
      <c r="T17" s="157"/>
      <c r="U17" s="175">
        <f t="shared" si="4"/>
        <v>6</v>
      </c>
      <c r="V17" s="176" t="s">
        <v>27</v>
      </c>
      <c r="W17" s="177">
        <f>1/4.47*(+U17*((170.18/U$14)^1)-15.4)</f>
        <v>-2.1472950986373807</v>
      </c>
      <c r="X17" s="178"/>
      <c r="Y17" s="176"/>
      <c r="Z17" s="179"/>
      <c r="AA17" s="145"/>
    </row>
    <row r="18" spans="1:27" ht="18" customHeight="1">
      <c r="B18" s="161" t="str">
        <f>IF(Info!D34,"Subscapular sf","PL Subescapular")</f>
        <v>Subscapular sf</v>
      </c>
      <c r="C18" s="116"/>
      <c r="D18" s="116"/>
      <c r="E18" s="122"/>
      <c r="F18" s="110"/>
      <c r="G18" s="85">
        <v>13</v>
      </c>
      <c r="H18" s="85">
        <v>13</v>
      </c>
      <c r="I18" s="85"/>
      <c r="J18" s="134"/>
      <c r="K18" s="162">
        <f t="shared" si="5"/>
        <v>0</v>
      </c>
      <c r="L18" s="163" t="str">
        <f t="shared" si="6"/>
        <v>No</v>
      </c>
      <c r="M18" s="134"/>
      <c r="N18" s="164">
        <f t="shared" si="2"/>
        <v>13</v>
      </c>
      <c r="O18" s="154"/>
      <c r="P18" s="154"/>
      <c r="Q18" s="155"/>
      <c r="R18" s="155" t="str">
        <f t="shared" si="3"/>
        <v>Subscapular sf</v>
      </c>
      <c r="S18" s="165"/>
      <c r="T18" s="165"/>
      <c r="U18" s="180">
        <f t="shared" si="4"/>
        <v>13</v>
      </c>
      <c r="V18" s="143" t="s">
        <v>27</v>
      </c>
      <c r="W18" s="32">
        <f>1/5.07*(+U18*((170.18/U$14)^1)-17.2)</f>
        <v>-0.9131925766541148</v>
      </c>
      <c r="X18" s="181"/>
      <c r="Y18" s="143"/>
      <c r="Z18" s="145"/>
      <c r="AA18" s="145"/>
    </row>
    <row r="19" spans="1:27" ht="18" customHeight="1">
      <c r="B19" s="161" t="str">
        <f>IF(Info!D34,"Biceps sf","PL Bíceps")</f>
        <v>Biceps sf</v>
      </c>
      <c r="C19" s="116"/>
      <c r="D19" s="116"/>
      <c r="E19" s="122"/>
      <c r="F19" s="110"/>
      <c r="G19" s="85">
        <v>3.5</v>
      </c>
      <c r="H19" s="85">
        <v>3.5</v>
      </c>
      <c r="I19" s="85"/>
      <c r="J19" s="134"/>
      <c r="K19" s="182">
        <f t="shared" si="5"/>
        <v>0</v>
      </c>
      <c r="L19" s="163" t="str">
        <f t="shared" si="6"/>
        <v>No</v>
      </c>
      <c r="M19" s="134"/>
      <c r="N19" s="164">
        <f t="shared" si="2"/>
        <v>3.5</v>
      </c>
      <c r="O19" s="154"/>
      <c r="P19" s="154"/>
      <c r="Q19" s="155"/>
      <c r="R19" s="155" t="str">
        <f t="shared" si="3"/>
        <v>Biceps sf</v>
      </c>
      <c r="S19" s="165"/>
      <c r="T19" s="165"/>
      <c r="U19" s="180">
        <f t="shared" si="4"/>
        <v>3.5</v>
      </c>
      <c r="V19" s="143" t="s">
        <v>27</v>
      </c>
      <c r="W19" s="32">
        <f>1/2*(+U19*((170.18/U$14)^1)-8)</f>
        <v>-2.307869318181818</v>
      </c>
      <c r="X19" s="181"/>
      <c r="Y19" s="143"/>
      <c r="Z19" s="145"/>
      <c r="AA19" s="145"/>
    </row>
    <row r="20" spans="1:27" ht="18" customHeight="1">
      <c r="B20" s="161" t="str">
        <f>IF(Info!D34,"Iliac crest sf","PL Cresta Iliaca")</f>
        <v>Iliac crest sf</v>
      </c>
      <c r="C20" s="116"/>
      <c r="D20" s="116"/>
      <c r="E20" s="122"/>
      <c r="F20" s="110"/>
      <c r="G20" s="85">
        <v>13.5</v>
      </c>
      <c r="H20" s="85">
        <v>14</v>
      </c>
      <c r="I20" s="85">
        <v>14</v>
      </c>
      <c r="J20" s="134"/>
      <c r="K20" s="182">
        <f t="shared" si="5"/>
        <v>3.6363636363636362E-2</v>
      </c>
      <c r="L20" s="163" t="str">
        <f t="shared" si="6"/>
        <v>No</v>
      </c>
      <c r="M20" s="134"/>
      <c r="N20" s="164">
        <f t="shared" si="2"/>
        <v>14</v>
      </c>
      <c r="O20" s="154"/>
      <c r="P20" s="154"/>
      <c r="Q20" s="155"/>
      <c r="R20" s="155" t="str">
        <f t="shared" si="3"/>
        <v>Iliac crest sf</v>
      </c>
      <c r="S20" s="165"/>
      <c r="T20" s="165"/>
      <c r="U20" s="180">
        <f t="shared" si="4"/>
        <v>14</v>
      </c>
      <c r="V20" s="143" t="s">
        <v>28</v>
      </c>
      <c r="W20" s="32">
        <f>1/6.8*(+U20*((170.18/U$14)^1)-22.4)</f>
        <v>-1.3033756684491977</v>
      </c>
      <c r="X20" s="181"/>
      <c r="Y20" s="143"/>
      <c r="Z20" s="145"/>
      <c r="AA20" s="145"/>
    </row>
    <row r="21" spans="1:27" ht="18" customHeight="1">
      <c r="B21" s="161" t="str">
        <f>IF(Info!D34,"Supraspinale sf","PL Supraespinal")</f>
        <v>Supraspinale sf</v>
      </c>
      <c r="C21" s="116"/>
      <c r="D21" s="116"/>
      <c r="E21" s="122"/>
      <c r="F21" s="110"/>
      <c r="G21" s="85">
        <v>5</v>
      </c>
      <c r="H21" s="85">
        <v>5</v>
      </c>
      <c r="I21" s="85"/>
      <c r="J21" s="134"/>
      <c r="K21" s="162">
        <f t="shared" si="5"/>
        <v>0</v>
      </c>
      <c r="L21" s="163" t="str">
        <f t="shared" si="6"/>
        <v>No</v>
      </c>
      <c r="M21" s="134"/>
      <c r="N21" s="164">
        <f t="shared" si="2"/>
        <v>5</v>
      </c>
      <c r="O21" s="154"/>
      <c r="P21" s="154"/>
      <c r="Q21" s="155"/>
      <c r="R21" s="155" t="str">
        <f t="shared" si="3"/>
        <v>Supraspinale sf</v>
      </c>
      <c r="S21" s="165"/>
      <c r="T21" s="165"/>
      <c r="U21" s="180">
        <f t="shared" si="4"/>
        <v>5</v>
      </c>
      <c r="V21" s="143" t="s">
        <v>27</v>
      </c>
      <c r="W21" s="32">
        <f>1/4.47*(+U21*((170.18/U$14)^1)-15.4)</f>
        <v>-2.3636109416310762</v>
      </c>
      <c r="X21" s="181"/>
      <c r="Y21" s="143"/>
      <c r="Z21" s="145"/>
      <c r="AA21" s="145"/>
    </row>
    <row r="22" spans="1:27" ht="18" customHeight="1">
      <c r="B22" s="161" t="str">
        <f>IF(Info!D34,"Abdominal sf","PL Abdominal")</f>
        <v>Abdominal sf</v>
      </c>
      <c r="C22" s="116"/>
      <c r="D22" s="116"/>
      <c r="E22" s="122"/>
      <c r="F22" s="110"/>
      <c r="G22" s="85">
        <v>7.5</v>
      </c>
      <c r="H22" s="85">
        <v>7.5</v>
      </c>
      <c r="I22" s="85"/>
      <c r="J22" s="134"/>
      <c r="K22" s="162">
        <f t="shared" si="5"/>
        <v>0</v>
      </c>
      <c r="L22" s="163" t="str">
        <f t="shared" si="6"/>
        <v>No</v>
      </c>
      <c r="M22" s="134"/>
      <c r="N22" s="164">
        <f t="shared" si="2"/>
        <v>7.5</v>
      </c>
      <c r="O22" s="154"/>
      <c r="P22" s="154"/>
      <c r="Q22" s="155"/>
      <c r="R22" s="155" t="str">
        <f t="shared" si="3"/>
        <v>Abdominal sf</v>
      </c>
      <c r="S22" s="165"/>
      <c r="T22" s="165"/>
      <c r="U22" s="180">
        <f t="shared" si="4"/>
        <v>7.5</v>
      </c>
      <c r="V22" s="143" t="s">
        <v>27</v>
      </c>
      <c r="W22" s="32">
        <f>1/7.78*(+U22*((170.18/U$14)^1)-25.4)</f>
        <v>-2.3326492755316663</v>
      </c>
      <c r="X22" s="181"/>
      <c r="Y22" s="143"/>
      <c r="Z22" s="145"/>
      <c r="AA22" s="145"/>
    </row>
    <row r="23" spans="1:27" ht="18" customHeight="1">
      <c r="B23" s="161" t="str">
        <f>IF(Info!D34,"Thigh sf","PL Muslo")</f>
        <v>Thigh sf</v>
      </c>
      <c r="C23" s="116"/>
      <c r="D23" s="116"/>
      <c r="E23" s="122"/>
      <c r="F23" s="110"/>
      <c r="G23" s="85">
        <v>9</v>
      </c>
      <c r="H23" s="85">
        <v>9</v>
      </c>
      <c r="I23" s="85"/>
      <c r="J23" s="134"/>
      <c r="K23" s="182">
        <f t="shared" si="5"/>
        <v>0</v>
      </c>
      <c r="L23" s="163" t="str">
        <f t="shared" si="6"/>
        <v>No</v>
      </c>
      <c r="M23" s="134"/>
      <c r="N23" s="164">
        <f t="shared" si="2"/>
        <v>9</v>
      </c>
      <c r="O23" s="154"/>
      <c r="P23" s="154"/>
      <c r="Q23" s="155"/>
      <c r="R23" s="155" t="str">
        <f t="shared" si="3"/>
        <v>Thigh sf</v>
      </c>
      <c r="S23" s="165"/>
      <c r="T23" s="165"/>
      <c r="U23" s="180">
        <f t="shared" si="4"/>
        <v>9</v>
      </c>
      <c r="V23" s="143" t="s">
        <v>27</v>
      </c>
      <c r="W23" s="32">
        <f>1/8.33*(+U23*((170.18/U$14)^1)-27)</f>
        <v>-2.1965922732729455</v>
      </c>
      <c r="X23" s="181"/>
      <c r="Y23" s="143"/>
      <c r="Z23" s="145"/>
      <c r="AA23" s="145"/>
    </row>
    <row r="24" spans="1:27" ht="18" customHeight="1" thickBot="1">
      <c r="B24" s="183" t="str">
        <f>IF(Info!D34,"Calf sf","PL Pierna")</f>
        <v>Calf sf</v>
      </c>
      <c r="C24" s="184"/>
      <c r="D24" s="184"/>
      <c r="E24" s="185"/>
      <c r="F24" s="186"/>
      <c r="G24" s="86">
        <v>5.5</v>
      </c>
      <c r="H24" s="86">
        <v>5.5</v>
      </c>
      <c r="I24" s="86"/>
      <c r="J24" s="187"/>
      <c r="K24" s="182">
        <f t="shared" si="5"/>
        <v>0</v>
      </c>
      <c r="L24" s="188" t="str">
        <f t="shared" si="6"/>
        <v>No</v>
      </c>
      <c r="M24" s="187"/>
      <c r="N24" s="189">
        <f t="shared" si="2"/>
        <v>5.5</v>
      </c>
      <c r="O24" s="154"/>
      <c r="P24" s="154"/>
      <c r="Q24" s="155"/>
      <c r="R24" s="168" t="str">
        <f t="shared" si="3"/>
        <v>Calf sf</v>
      </c>
      <c r="S24" s="169"/>
      <c r="T24" s="169"/>
      <c r="U24" s="170">
        <f t="shared" si="4"/>
        <v>5.5</v>
      </c>
      <c r="V24" s="173" t="s">
        <v>27</v>
      </c>
      <c r="W24" s="33">
        <f>1/4.67*(+U24*((170.18/U$14)^1)-16)</f>
        <v>-2.2873394004282654</v>
      </c>
      <c r="X24" s="172"/>
      <c r="Y24" s="173"/>
      <c r="Z24" s="174"/>
      <c r="AA24" s="145"/>
    </row>
    <row r="25" spans="1:27" ht="18" customHeight="1">
      <c r="B25" s="161" t="str">
        <f>IF(Info!D34,"Arm girth relaxed","PR Brazo relajado")</f>
        <v>Arm girth relaxed</v>
      </c>
      <c r="C25" s="116"/>
      <c r="D25" s="116"/>
      <c r="E25" s="122"/>
      <c r="F25" s="110"/>
      <c r="G25" s="85">
        <v>34.799999999999997</v>
      </c>
      <c r="H25" s="85">
        <v>34.799999999999997</v>
      </c>
      <c r="I25" s="85"/>
      <c r="J25" s="134"/>
      <c r="K25" s="151">
        <f t="shared" si="5"/>
        <v>0</v>
      </c>
      <c r="L25" s="163" t="str">
        <f>IF(ABS(K25)&gt;1%,"Yes","No")</f>
        <v>No</v>
      </c>
      <c r="M25" s="134"/>
      <c r="N25" s="164">
        <f t="shared" si="2"/>
        <v>34.799999999999997</v>
      </c>
      <c r="O25" s="154"/>
      <c r="P25" s="154"/>
      <c r="Q25" s="155"/>
      <c r="R25" s="155" t="str">
        <f t="shared" si="3"/>
        <v>Arm girth relaxed</v>
      </c>
      <c r="S25" s="165"/>
      <c r="T25" s="165"/>
      <c r="U25" s="180">
        <f t="shared" si="4"/>
        <v>34.799999999999997</v>
      </c>
      <c r="V25" s="143" t="s">
        <v>26</v>
      </c>
      <c r="W25" s="32">
        <f>1/2.33*(+U25*((170.18/U$14)^1)-26.89)</f>
        <v>2.9009559110417449</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32.915044407846125</v>
      </c>
      <c r="V26" s="143" t="s">
        <v>26</v>
      </c>
      <c r="W26" s="32">
        <f>1/1.91*(+U26*((170.18/U$14)^1)-22.05)</f>
        <v>5.1186406988554651</v>
      </c>
      <c r="X26" s="181"/>
      <c r="Y26" s="143"/>
      <c r="Z26" s="145"/>
      <c r="AA26" s="145"/>
    </row>
    <row r="27" spans="1:27" ht="18" customHeight="1">
      <c r="B27" s="199" t="str">
        <f>IF(Info!D34,"Arm girth flexed and tensed","PR Brazo flexionado y contraído")</f>
        <v>Arm girth flexed and tensed</v>
      </c>
      <c r="C27" s="116"/>
      <c r="D27" s="116"/>
      <c r="E27" s="122"/>
      <c r="F27" s="110"/>
      <c r="G27" s="85">
        <v>83.2</v>
      </c>
      <c r="H27" s="85">
        <v>38.299999999999997</v>
      </c>
      <c r="I27" s="85">
        <v>38.299999999999997</v>
      </c>
      <c r="J27" s="134"/>
      <c r="K27" s="182">
        <f t="shared" si="5"/>
        <v>-0.73909465020576137</v>
      </c>
      <c r="L27" s="163" t="str">
        <f>IF(ABS(K27)&gt;1%,"Yes","No")</f>
        <v>Yes</v>
      </c>
      <c r="M27" s="134"/>
      <c r="N27" s="164">
        <f>IF(I27=0,AVERAGE(G27,H27),MEDIAN(G27,H27,I27))</f>
        <v>38.299999999999997</v>
      </c>
      <c r="O27" s="154"/>
      <c r="P27" s="154"/>
      <c r="Q27" s="155"/>
      <c r="R27" s="155" t="str">
        <f t="shared" si="3"/>
        <v>Arm girth flexed and tensed</v>
      </c>
      <c r="S27" s="165"/>
      <c r="T27" s="165"/>
      <c r="U27" s="180">
        <f>+N27</f>
        <v>38.299999999999997</v>
      </c>
      <c r="V27" s="143" t="s">
        <v>26</v>
      </c>
      <c r="W27" s="32">
        <f>1/2.37*(+U27*((170.18/U$14)^1)-29.41)</f>
        <v>3.2166618718833901</v>
      </c>
      <c r="X27" s="181"/>
      <c r="Y27" s="143"/>
      <c r="Z27" s="145"/>
      <c r="AA27" s="145"/>
    </row>
    <row r="28" spans="1:27" ht="18" customHeight="1">
      <c r="B28" s="200" t="str">
        <f>IF(Info!D34,"Waist girth","PR Cintura")</f>
        <v>Waist girth</v>
      </c>
      <c r="C28" s="116"/>
      <c r="D28" s="116"/>
      <c r="E28" s="122"/>
      <c r="F28" s="110"/>
      <c r="G28" s="85">
        <v>77.5</v>
      </c>
      <c r="H28" s="85">
        <v>77.5</v>
      </c>
      <c r="I28" s="85"/>
      <c r="J28" s="134"/>
      <c r="K28" s="182">
        <f t="shared" si="5"/>
        <v>0</v>
      </c>
      <c r="L28" s="163" t="str">
        <f>IF(ABS(K28)&gt;1%,"Yes","No")</f>
        <v>No</v>
      </c>
      <c r="M28" s="134"/>
      <c r="N28" s="164">
        <f>IF(I28=0,AVERAGE(G28,H28),MEDIAN(G28,H28,I28))</f>
        <v>77.5</v>
      </c>
      <c r="O28" s="154"/>
      <c r="P28" s="154"/>
      <c r="Q28" s="155"/>
      <c r="R28" s="155" t="str">
        <f t="shared" si="3"/>
        <v>Waist girth</v>
      </c>
      <c r="S28" s="165"/>
      <c r="T28" s="165"/>
      <c r="U28" s="180">
        <f>+N28</f>
        <v>77.5</v>
      </c>
      <c r="V28" s="143" t="s">
        <v>26</v>
      </c>
      <c r="W28" s="32">
        <f>1/4.45*(+U28*((170.18/U$14)^1)-71.91)</f>
        <v>0.68027323799795791</v>
      </c>
      <c r="X28" s="181"/>
      <c r="Y28" s="143"/>
      <c r="Z28" s="145"/>
      <c r="AA28" s="145"/>
    </row>
    <row r="29" spans="1:27" ht="18" customHeight="1">
      <c r="B29" s="200" t="str">
        <f>IF(Info!D34,"Hips girth","PR Caderas")</f>
        <v>Hips girth</v>
      </c>
      <c r="C29" s="116"/>
      <c r="D29" s="116"/>
      <c r="E29" s="122"/>
      <c r="F29" s="110"/>
      <c r="G29" s="85">
        <v>93</v>
      </c>
      <c r="H29" s="85">
        <v>93</v>
      </c>
      <c r="I29" s="85"/>
      <c r="J29" s="134"/>
      <c r="K29" s="182">
        <f t="shared" si="5"/>
        <v>0</v>
      </c>
      <c r="L29" s="163" t="str">
        <f>IF(ABS(K29)&gt;1%,"Yes","No")</f>
        <v>No</v>
      </c>
      <c r="M29" s="134"/>
      <c r="N29" s="164">
        <f>IF(I29=0,AVERAGE(G29,H29),MEDIAN(G29,H29,I29))</f>
        <v>93</v>
      </c>
      <c r="O29" s="154"/>
      <c r="P29" s="154"/>
      <c r="Q29" s="155"/>
      <c r="R29" s="155" t="str">
        <f t="shared" si="3"/>
        <v>Hips girth</v>
      </c>
      <c r="S29" s="165"/>
      <c r="T29" s="165"/>
      <c r="U29" s="180">
        <f>+N29</f>
        <v>93</v>
      </c>
      <c r="V29" s="143" t="s">
        <v>26</v>
      </c>
      <c r="W29" s="32">
        <f>1/5.58*(+U29*((170.18/U$14)^1)-94.67)</f>
        <v>-0.85041951775822822</v>
      </c>
      <c r="X29" s="181"/>
      <c r="Y29" s="143"/>
      <c r="Z29" s="145"/>
      <c r="AA29" s="145"/>
    </row>
    <row r="30" spans="1:27" ht="18" customHeight="1">
      <c r="B30" s="200" t="str">
        <f>IF(Info!D34,"Thigh middle girth","PR Muslo medio")</f>
        <v>Thigh middle girth</v>
      </c>
      <c r="C30" s="116"/>
      <c r="D30" s="116"/>
      <c r="E30" s="122"/>
      <c r="F30" s="110"/>
      <c r="G30" s="85">
        <v>53</v>
      </c>
      <c r="H30" s="85">
        <v>53</v>
      </c>
      <c r="I30" s="85"/>
      <c r="J30" s="134"/>
      <c r="K30" s="182">
        <f>+(H30-G30)/(AVERAGE(G30:H30))</f>
        <v>0</v>
      </c>
      <c r="L30" s="163" t="str">
        <f>IF(ABS(K30)&gt;1%,"Yes","No")</f>
        <v>No</v>
      </c>
      <c r="M30" s="134"/>
      <c r="N30" s="164">
        <f>IF(I30=0,AVERAGE(G30,H30),MEDIAN(G30,H30,I30))</f>
        <v>53</v>
      </c>
      <c r="O30" s="154"/>
      <c r="P30" s="154"/>
      <c r="Q30" s="155"/>
      <c r="R30" s="155" t="str">
        <f t="shared" si="3"/>
        <v>Thigh middle girth</v>
      </c>
      <c r="S30" s="165"/>
      <c r="T30" s="165"/>
      <c r="U30" s="180">
        <f>+N30</f>
        <v>53</v>
      </c>
      <c r="V30" s="143" t="s">
        <v>26</v>
      </c>
      <c r="W30" s="32">
        <f>1/4.56*(+U30*((170.18/U$14)^1)-53.2)</f>
        <v>-0.42820474481658705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50.172566611769184</v>
      </c>
      <c r="V31" s="143" t="s">
        <v>26</v>
      </c>
      <c r="W31" s="32">
        <f>1/3.59*(+U31*((170.18/U$14)^1)-47.34)</f>
        <v>0.32686658962851267</v>
      </c>
      <c r="X31" s="181"/>
      <c r="Y31" s="143"/>
      <c r="Z31" s="145"/>
      <c r="AA31" s="145"/>
    </row>
    <row r="32" spans="1:27" ht="18" customHeight="1">
      <c r="B32" s="161" t="str">
        <f>IF(Info!D34,"Calf girth","PR Pierna")</f>
        <v>Calf girth</v>
      </c>
      <c r="C32" s="116"/>
      <c r="D32" s="116"/>
      <c r="E32" s="122"/>
      <c r="F32" s="110"/>
      <c r="G32" s="85">
        <v>37</v>
      </c>
      <c r="H32" s="85">
        <v>37</v>
      </c>
      <c r="I32" s="85"/>
      <c r="J32" s="134"/>
      <c r="K32" s="182">
        <f t="shared" si="5"/>
        <v>0</v>
      </c>
      <c r="L32" s="163" t="str">
        <f>IF(ABS(K32)&gt;1%,"Yes","No")</f>
        <v>No</v>
      </c>
      <c r="M32" s="134"/>
      <c r="N32" s="164">
        <f>IF(I32=0,AVERAGE(G32,H32),MEDIAN(G32,H32,I32))</f>
        <v>37</v>
      </c>
      <c r="O32" s="154"/>
      <c r="P32" s="154"/>
      <c r="Q32" s="155"/>
      <c r="R32" s="155" t="str">
        <f t="shared" si="3"/>
        <v>Calf girth</v>
      </c>
      <c r="S32" s="165"/>
      <c r="T32" s="165"/>
      <c r="U32" s="201">
        <f>+N32</f>
        <v>37</v>
      </c>
      <c r="V32" s="143" t="s">
        <v>26</v>
      </c>
      <c r="W32" s="32">
        <f>1/2.3*(+U32*((170.18/U$14)^1)-35.25)</f>
        <v>0.22890316205533479</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35.272124040525611</v>
      </c>
      <c r="V33" s="173" t="s">
        <v>26</v>
      </c>
      <c r="W33" s="33">
        <f>1/1.97*(+U33*((170.18/U$14)^1)-30.22)</f>
        <v>1.9724563602233753</v>
      </c>
      <c r="X33" s="172"/>
      <c r="Y33" s="173"/>
      <c r="Z33" s="174"/>
      <c r="AA33" s="145"/>
    </row>
    <row r="34" spans="1:27" ht="18" customHeight="1" thickBot="1">
      <c r="B34" s="161" t="str">
        <f>IF(Info!D34,"Humerus breadth","D Húmero")</f>
        <v>Humerus breadth</v>
      </c>
      <c r="C34" s="116"/>
      <c r="D34" s="116"/>
      <c r="E34" s="122"/>
      <c r="F34" s="110"/>
      <c r="G34" s="87">
        <v>7.1</v>
      </c>
      <c r="H34" s="87">
        <v>7.1</v>
      </c>
      <c r="I34" s="87"/>
      <c r="J34" s="134"/>
      <c r="K34" s="151">
        <f t="shared" si="5"/>
        <v>0</v>
      </c>
      <c r="L34" s="209" t="str">
        <f>IF(ABS(K34)&gt;1%,"Yes","No")</f>
        <v>No</v>
      </c>
      <c r="M34" s="134"/>
      <c r="N34" s="210">
        <f>IF(I34=0,AVERAGE(G34,H34),MEDIAN(G34,H34,I34))</f>
        <v>7.1</v>
      </c>
      <c r="O34" s="154"/>
      <c r="P34" s="154"/>
      <c r="Q34" s="155"/>
      <c r="R34" s="155" t="str">
        <f t="shared" si="3"/>
        <v>Humerus breadth</v>
      </c>
      <c r="S34" s="165"/>
      <c r="T34" s="165"/>
      <c r="U34" s="180">
        <f>+N34</f>
        <v>7.1</v>
      </c>
      <c r="V34" s="143" t="s">
        <v>26</v>
      </c>
      <c r="W34" s="32">
        <f>1/0.35*(+U34*((170.18/U$14)^1)-6.48)</f>
        <v>1.1006168831168799</v>
      </c>
      <c r="X34" s="181"/>
      <c r="Y34" s="143"/>
      <c r="Z34" s="145"/>
      <c r="AA34" s="145"/>
    </row>
    <row r="35" spans="1:27" ht="18" customHeight="1">
      <c r="B35" s="161" t="str">
        <f>IF(Info!D34,"Bi-styloid breadth","D Biestiloideo")</f>
        <v>Bi-styloid breadth</v>
      </c>
      <c r="C35" s="116"/>
      <c r="D35" s="116"/>
      <c r="E35" s="122"/>
      <c r="F35" s="110"/>
      <c r="G35" s="91">
        <v>5.8</v>
      </c>
      <c r="H35" s="91">
        <v>5.8</v>
      </c>
      <c r="I35" s="91"/>
      <c r="J35" s="134"/>
      <c r="K35" s="151">
        <f>+(H35-G35)/(AVERAGE(G35:H35))</f>
        <v>0</v>
      </c>
      <c r="L35" s="209" t="str">
        <f>IF(ABS(K35)&gt;1%,"Yes","No")</f>
        <v>No</v>
      </c>
      <c r="M35" s="134"/>
      <c r="N35" s="210">
        <f>IF(I35=0,AVERAGE(G35,H35),MEDIAN(G35,H35,I35))</f>
        <v>5.8</v>
      </c>
      <c r="O35" s="154"/>
      <c r="P35" s="154"/>
      <c r="Q35" s="155"/>
      <c r="R35" s="155" t="str">
        <f t="shared" si="3"/>
        <v>Bi-styloid breadth</v>
      </c>
      <c r="S35" s="165"/>
      <c r="T35" s="165"/>
      <c r="U35" s="180">
        <f>+N35</f>
        <v>5.8</v>
      </c>
      <c r="V35" s="143" t="s">
        <v>26</v>
      </c>
      <c r="W35" s="32">
        <f>1/0.28*(+U35*((170.18/U$14)^1)-5.21)</f>
        <v>1.4221590909090902</v>
      </c>
      <c r="X35" s="181"/>
      <c r="Y35" s="143"/>
      <c r="Z35" s="145"/>
      <c r="AA35" s="145"/>
    </row>
    <row r="36" spans="1:27" ht="18" customHeight="1" thickBot="1">
      <c r="B36" s="183" t="str">
        <f>IF(Info!D34,"Femur breadth","D Fémur")</f>
        <v>Femur breadth</v>
      </c>
      <c r="C36" s="184"/>
      <c r="D36" s="184"/>
      <c r="E36" s="185"/>
      <c r="F36" s="186"/>
      <c r="G36" s="86">
        <v>10.3</v>
      </c>
      <c r="H36" s="86">
        <v>10.199999999999999</v>
      </c>
      <c r="I36" s="86">
        <v>10.199999999999999</v>
      </c>
      <c r="J36" s="187"/>
      <c r="K36" s="182">
        <f>+(H36-G36)/(AVERAGE(G36:H36))</f>
        <v>-9.7560975609757485E-3</v>
      </c>
      <c r="L36" s="188" t="str">
        <f>IF(ABS(K36)&gt;1%,"Yes","No")</f>
        <v>No</v>
      </c>
      <c r="M36" s="187"/>
      <c r="N36" s="189">
        <f>IF(I36=0,AVERAGE(G36,H36),MEDIAN(G36,H36,I36))</f>
        <v>10.199999999999999</v>
      </c>
      <c r="O36" s="154"/>
      <c r="P36" s="154"/>
      <c r="Q36" s="155"/>
      <c r="R36" s="211" t="str">
        <f t="shared" si="3"/>
        <v>Femur breadth</v>
      </c>
      <c r="S36" s="212"/>
      <c r="T36" s="212"/>
      <c r="U36" s="213">
        <f>+N36</f>
        <v>10.199999999999999</v>
      </c>
      <c r="V36" s="214" t="s">
        <v>26</v>
      </c>
      <c r="W36" s="215">
        <f>1/0.48*(+U36*((170.18/U$14)^1)-9.52)</f>
        <v>0.71396780303030205</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2.3003357754781795</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6.622049999999998</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1.6503676300936512</v>
      </c>
      <c r="V42" s="224">
        <f>U14/(U13^(1/3))</f>
        <v>41.298316434554167</v>
      </c>
      <c r="W42" s="228"/>
      <c r="X42" s="34"/>
      <c r="Y42" s="126"/>
      <c r="Z42" s="115"/>
      <c r="AA42" s="115"/>
    </row>
    <row r="43" spans="1:27" s="109" customFormat="1">
      <c r="B43" s="223" t="str">
        <f t="shared" si="7"/>
        <v>Arm Span</v>
      </c>
      <c r="C43" s="224"/>
      <c r="D43" s="223">
        <f t="shared" si="8"/>
        <v>0</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24.987086776859506</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0.83333333333333337</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1</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46</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63.5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9.4525000000000006</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10.602499999999999</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7.4146000000000001</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1</v>
      </c>
      <c r="H54" s="222">
        <f t="shared" si="12"/>
        <v>1</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47.642355966288079</v>
      </c>
      <c r="V54" s="239" t="str">
        <f>'3'!V54</f>
        <v>(Lee)</v>
      </c>
      <c r="X54" s="235"/>
      <c r="Y54" s="227"/>
      <c r="Z54" s="145"/>
      <c r="AA54" s="145"/>
    </row>
    <row r="55" spans="1:27">
      <c r="B55" s="223" t="str">
        <f t="shared" si="7"/>
        <v>Waist girth</v>
      </c>
      <c r="C55" s="222"/>
      <c r="D55" s="223">
        <f t="shared" si="8"/>
        <v>1</v>
      </c>
      <c r="E55" s="223">
        <f t="shared" si="9"/>
        <v>0</v>
      </c>
      <c r="F55" s="223">
        <f t="shared" si="10"/>
        <v>0</v>
      </c>
      <c r="G55" s="223">
        <f t="shared" si="11"/>
        <v>0</v>
      </c>
      <c r="H55" s="222">
        <f t="shared" si="12"/>
        <v>0</v>
      </c>
      <c r="I55" s="224">
        <f t="shared" si="13"/>
        <v>0</v>
      </c>
      <c r="J55" s="224">
        <f t="shared" si="13"/>
        <v>0</v>
      </c>
      <c r="K55" s="224"/>
      <c r="L55" s="224">
        <f>COUNTIF(L13:L36,"yes")</f>
        <v>1</v>
      </c>
      <c r="M55" s="224"/>
      <c r="N55" s="224"/>
      <c r="Q55" s="113"/>
      <c r="R55" s="113"/>
      <c r="U55" s="35">
        <f>(U14/100*((0.0064*(U26^2))+(0.0032*(U31^2))+(0.0015*(U33^2)))+(2.56*IF(U8=1,1,0))+(0.136*(U10-U11)/365.25))*100/U13</f>
        <v>45.538581608514356</v>
      </c>
      <c r="V55" s="239" t="str">
        <f>'3'!V55</f>
        <v>(Poortmans)</v>
      </c>
      <c r="X55" s="240"/>
      <c r="Y55" s="227"/>
      <c r="Z55" s="145"/>
      <c r="AA55" s="145"/>
    </row>
    <row r="56" spans="1:27">
      <c r="B56" s="223" t="str">
        <f t="shared" si="7"/>
        <v>Hips girth</v>
      </c>
      <c r="C56" s="222"/>
      <c r="D56" s="223">
        <f t="shared" si="8"/>
        <v>1</v>
      </c>
      <c r="E56" s="223">
        <f t="shared" si="9"/>
        <v>0</v>
      </c>
      <c r="F56" s="223">
        <f t="shared" si="10"/>
        <v>0</v>
      </c>
      <c r="G56" s="223">
        <f t="shared" si="11"/>
        <v>0</v>
      </c>
      <c r="H56" s="222">
        <f t="shared" si="12"/>
        <v>0</v>
      </c>
      <c r="I56" s="224">
        <f t="shared" si="13"/>
        <v>0</v>
      </c>
      <c r="J56" s="224">
        <f t="shared" si="13"/>
        <v>0</v>
      </c>
      <c r="K56" s="224"/>
      <c r="L56" s="224"/>
      <c r="M56" s="224"/>
      <c r="N56" s="224"/>
      <c r="Q56" s="113"/>
      <c r="R56" s="113"/>
      <c r="S56" s="226" t="str">
        <f>'3'!S56</f>
        <v>Bone percentage</v>
      </c>
      <c r="U56" s="35">
        <f>(3.02*(((U14/100)^2)*(U35/100)*(U36/100)*400)^0.712)*100/U13</f>
        <v>16.114869347149387</v>
      </c>
      <c r="V56" s="239" t="str">
        <f>'3'!V56</f>
        <v>(Rocha)</v>
      </c>
      <c r="W56" s="241"/>
      <c r="X56" s="233"/>
      <c r="Y56" s="227"/>
      <c r="Z56" s="145"/>
      <c r="AA56" s="145"/>
    </row>
    <row r="57" spans="1:27">
      <c r="B57" s="223" t="str">
        <f t="shared" si="7"/>
        <v>Thigh middle girth</v>
      </c>
      <c r="C57" s="222"/>
      <c r="D57" s="223">
        <f t="shared" si="8"/>
        <v>1</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1</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17</v>
      </c>
      <c r="E64" s="223">
        <f t="shared" si="15"/>
        <v>0</v>
      </c>
      <c r="F64" s="223">
        <f t="shared" si="15"/>
        <v>3</v>
      </c>
      <c r="G64" s="223">
        <f t="shared" si="15"/>
        <v>3</v>
      </c>
      <c r="H64" s="223">
        <f t="shared" si="15"/>
        <v>1</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77.400000000000006</v>
      </c>
      <c r="H67" s="245">
        <f t="shared" si="16"/>
        <v>77.400000000000006</v>
      </c>
      <c r="I67" s="245">
        <f t="shared" si="16"/>
        <v>0</v>
      </c>
      <c r="J67" s="224">
        <f>ABS(G67-H67)</f>
        <v>0</v>
      </c>
      <c r="K67" s="224">
        <f>ABS(I67-G67)</f>
        <v>77.400000000000006</v>
      </c>
      <c r="L67" s="224">
        <f>ABS(H67-I67)</f>
        <v>77.400000000000006</v>
      </c>
      <c r="M67" s="246">
        <f>IF(J67=MIN(J67:L67),G67,IF(K67=MIN(J67:L67),G67,H67))</f>
        <v>77.400000000000006</v>
      </c>
      <c r="N67" s="246">
        <f>IF(J67=MIN(J67:L67),H67,IF(K67=MIN(J67:L67),I67,I67))</f>
        <v>77.400000000000006</v>
      </c>
    </row>
    <row r="68" spans="1:22" s="247" customFormat="1">
      <c r="B68" s="269" t="str">
        <f t="shared" ref="B68:B79" si="17">B14</f>
        <v>Stature</v>
      </c>
      <c r="C68" s="269"/>
      <c r="D68" s="269"/>
      <c r="E68" s="269"/>
      <c r="F68" s="269"/>
      <c r="G68" s="245">
        <f t="shared" si="16"/>
        <v>176</v>
      </c>
      <c r="H68" s="245">
        <f t="shared" si="16"/>
        <v>176</v>
      </c>
      <c r="I68" s="245">
        <f t="shared" si="16"/>
        <v>0</v>
      </c>
      <c r="J68" s="224">
        <f t="shared" ref="J68:J87" si="18">ABS(G68-H68)</f>
        <v>0</v>
      </c>
      <c r="K68" s="224">
        <f t="shared" ref="K68:K87" si="19">ABS(I68-G68)</f>
        <v>176</v>
      </c>
      <c r="L68" s="224">
        <f t="shared" ref="L68:L87" si="20">ABS(H68-I68)</f>
        <v>176</v>
      </c>
      <c r="M68" s="246">
        <f t="shared" ref="M68:M87" si="21">IF(J68=MIN(J68:L68),G68,IF(K68=MIN(J68:L68),G68,H68))</f>
        <v>176</v>
      </c>
      <c r="N68" s="246">
        <f t="shared" ref="N68:N87" si="22">IF(J68=MIN(J68:L68),H68,IF(K68=MIN(J68:L68),I68,I68))</f>
        <v>176</v>
      </c>
    </row>
    <row r="69" spans="1:22" s="247" customFormat="1">
      <c r="B69" s="269" t="str">
        <f t="shared" si="17"/>
        <v>Sitting height</v>
      </c>
      <c r="C69" s="269"/>
      <c r="D69" s="269"/>
      <c r="E69" s="269"/>
      <c r="F69" s="269"/>
      <c r="G69" s="245">
        <f t="shared" si="16"/>
        <v>94.5</v>
      </c>
      <c r="H69" s="245">
        <f t="shared" si="16"/>
        <v>94.5</v>
      </c>
      <c r="I69" s="245">
        <f t="shared" si="16"/>
        <v>0</v>
      </c>
      <c r="J69" s="224">
        <f t="shared" si="18"/>
        <v>0</v>
      </c>
      <c r="K69" s="224">
        <f t="shared" si="19"/>
        <v>94.5</v>
      </c>
      <c r="L69" s="224">
        <f t="shared" si="20"/>
        <v>94.5</v>
      </c>
      <c r="M69" s="246">
        <f t="shared" si="21"/>
        <v>94.5</v>
      </c>
      <c r="N69" s="246">
        <f t="shared" si="22"/>
        <v>94.5</v>
      </c>
    </row>
    <row r="70" spans="1:22" s="247" customFormat="1">
      <c r="B70" s="269" t="str">
        <f t="shared" si="17"/>
        <v>Arm Span</v>
      </c>
      <c r="C70" s="269"/>
      <c r="D70" s="269"/>
      <c r="E70" s="269"/>
      <c r="F70" s="269"/>
      <c r="G70" s="245">
        <f t="shared" si="16"/>
        <v>170.3</v>
      </c>
      <c r="H70" s="245">
        <f t="shared" si="16"/>
        <v>170</v>
      </c>
      <c r="I70" s="245">
        <f t="shared" si="16"/>
        <v>0</v>
      </c>
      <c r="J70" s="224">
        <f t="shared" si="18"/>
        <v>0.30000000000001137</v>
      </c>
      <c r="K70" s="224">
        <f t="shared" si="19"/>
        <v>170.3</v>
      </c>
      <c r="L70" s="224">
        <f t="shared" si="20"/>
        <v>170</v>
      </c>
      <c r="M70" s="246">
        <f t="shared" si="21"/>
        <v>170.3</v>
      </c>
      <c r="N70" s="246">
        <f t="shared" si="22"/>
        <v>170</v>
      </c>
    </row>
    <row r="71" spans="1:22" s="247" customFormat="1">
      <c r="B71" s="269" t="str">
        <f t="shared" si="17"/>
        <v>Triceps sf</v>
      </c>
      <c r="C71" s="269"/>
      <c r="D71" s="269"/>
      <c r="E71" s="269"/>
      <c r="F71" s="269"/>
      <c r="G71" s="245">
        <f t="shared" si="16"/>
        <v>6</v>
      </c>
      <c r="H71" s="245">
        <f t="shared" si="16"/>
        <v>6</v>
      </c>
      <c r="I71" s="245">
        <f t="shared" si="16"/>
        <v>0</v>
      </c>
      <c r="J71" s="224">
        <f t="shared" si="18"/>
        <v>0</v>
      </c>
      <c r="K71" s="224">
        <f t="shared" si="19"/>
        <v>6</v>
      </c>
      <c r="L71" s="224">
        <f t="shared" si="20"/>
        <v>6</v>
      </c>
      <c r="M71" s="246">
        <f t="shared" si="21"/>
        <v>6</v>
      </c>
      <c r="N71" s="246">
        <f t="shared" si="22"/>
        <v>6</v>
      </c>
    </row>
    <row r="72" spans="1:22" s="247" customFormat="1">
      <c r="B72" s="269" t="str">
        <f t="shared" si="17"/>
        <v>Subscapular sf</v>
      </c>
      <c r="C72" s="269"/>
      <c r="D72" s="269"/>
      <c r="E72" s="269"/>
      <c r="F72" s="269"/>
      <c r="G72" s="245">
        <f t="shared" si="16"/>
        <v>13</v>
      </c>
      <c r="H72" s="245">
        <f t="shared" si="16"/>
        <v>13</v>
      </c>
      <c r="I72" s="245">
        <f t="shared" si="16"/>
        <v>0</v>
      </c>
      <c r="J72" s="224">
        <f t="shared" si="18"/>
        <v>0</v>
      </c>
      <c r="K72" s="224">
        <f t="shared" si="19"/>
        <v>13</v>
      </c>
      <c r="L72" s="224">
        <f t="shared" si="20"/>
        <v>13</v>
      </c>
      <c r="M72" s="246">
        <f t="shared" si="21"/>
        <v>13</v>
      </c>
      <c r="N72" s="246">
        <f t="shared" si="22"/>
        <v>13</v>
      </c>
    </row>
    <row r="73" spans="1:22" s="247" customFormat="1">
      <c r="B73" s="269" t="str">
        <f t="shared" si="17"/>
        <v>Biceps sf</v>
      </c>
      <c r="C73" s="269"/>
      <c r="D73" s="269"/>
      <c r="E73" s="269"/>
      <c r="F73" s="269"/>
      <c r="G73" s="245">
        <f t="shared" si="16"/>
        <v>3.5</v>
      </c>
      <c r="H73" s="245">
        <f t="shared" si="16"/>
        <v>3.5</v>
      </c>
      <c r="I73" s="245">
        <f t="shared" si="16"/>
        <v>0</v>
      </c>
      <c r="J73" s="224">
        <f t="shared" si="18"/>
        <v>0</v>
      </c>
      <c r="K73" s="224">
        <f t="shared" si="19"/>
        <v>3.5</v>
      </c>
      <c r="L73" s="224">
        <f t="shared" si="20"/>
        <v>3.5</v>
      </c>
      <c r="M73" s="246">
        <f t="shared" si="21"/>
        <v>3.5</v>
      </c>
      <c r="N73" s="246">
        <f t="shared" si="22"/>
        <v>3.5</v>
      </c>
    </row>
    <row r="74" spans="1:22" s="247" customFormat="1">
      <c r="B74" s="269" t="str">
        <f t="shared" si="17"/>
        <v>Iliac crest sf</v>
      </c>
      <c r="C74" s="269"/>
      <c r="D74" s="269"/>
      <c r="E74" s="269"/>
      <c r="F74" s="269"/>
      <c r="G74" s="245">
        <f t="shared" si="16"/>
        <v>13.5</v>
      </c>
      <c r="H74" s="245">
        <f t="shared" si="16"/>
        <v>14</v>
      </c>
      <c r="I74" s="245">
        <f t="shared" si="16"/>
        <v>14</v>
      </c>
      <c r="J74" s="224">
        <f t="shared" si="18"/>
        <v>0.5</v>
      </c>
      <c r="K74" s="224">
        <f t="shared" si="19"/>
        <v>0.5</v>
      </c>
      <c r="L74" s="224">
        <f t="shared" si="20"/>
        <v>0</v>
      </c>
      <c r="M74" s="246">
        <f t="shared" si="21"/>
        <v>14</v>
      </c>
      <c r="N74" s="246">
        <f t="shared" si="22"/>
        <v>14</v>
      </c>
    </row>
    <row r="75" spans="1:22" s="247" customFormat="1">
      <c r="B75" s="269" t="str">
        <f t="shared" si="17"/>
        <v>Supraspinale sf</v>
      </c>
      <c r="C75" s="269"/>
      <c r="D75" s="269"/>
      <c r="E75" s="269"/>
      <c r="F75" s="269"/>
      <c r="G75" s="245">
        <f t="shared" si="16"/>
        <v>5</v>
      </c>
      <c r="H75" s="245">
        <f t="shared" si="16"/>
        <v>5</v>
      </c>
      <c r="I75" s="245">
        <f t="shared" si="16"/>
        <v>0</v>
      </c>
      <c r="J75" s="224">
        <f t="shared" si="18"/>
        <v>0</v>
      </c>
      <c r="K75" s="224">
        <f t="shared" si="19"/>
        <v>5</v>
      </c>
      <c r="L75" s="224">
        <f t="shared" si="20"/>
        <v>5</v>
      </c>
      <c r="M75" s="246">
        <f t="shared" si="21"/>
        <v>5</v>
      </c>
      <c r="N75" s="246">
        <f t="shared" si="22"/>
        <v>5</v>
      </c>
    </row>
    <row r="76" spans="1:22" s="247" customFormat="1">
      <c r="B76" s="269" t="str">
        <f t="shared" si="17"/>
        <v>Abdominal sf</v>
      </c>
      <c r="C76" s="269"/>
      <c r="D76" s="269"/>
      <c r="E76" s="269"/>
      <c r="F76" s="269"/>
      <c r="G76" s="245">
        <f t="shared" si="16"/>
        <v>7.5</v>
      </c>
      <c r="H76" s="245">
        <f t="shared" si="16"/>
        <v>7.5</v>
      </c>
      <c r="I76" s="245">
        <f t="shared" si="16"/>
        <v>0</v>
      </c>
      <c r="J76" s="224">
        <f t="shared" si="18"/>
        <v>0</v>
      </c>
      <c r="K76" s="224">
        <f t="shared" si="19"/>
        <v>7.5</v>
      </c>
      <c r="L76" s="224">
        <f t="shared" si="20"/>
        <v>7.5</v>
      </c>
      <c r="M76" s="246">
        <f t="shared" si="21"/>
        <v>7.5</v>
      </c>
      <c r="N76" s="246">
        <f t="shared" si="22"/>
        <v>7.5</v>
      </c>
    </row>
    <row r="77" spans="1:22" s="247" customFormat="1">
      <c r="A77" s="244"/>
      <c r="B77" s="269" t="str">
        <f t="shared" si="17"/>
        <v>Thigh sf</v>
      </c>
      <c r="C77" s="269"/>
      <c r="D77" s="269"/>
      <c r="E77" s="269"/>
      <c r="F77" s="269"/>
      <c r="G77" s="245">
        <f t="shared" si="16"/>
        <v>9</v>
      </c>
      <c r="H77" s="245">
        <f t="shared" si="16"/>
        <v>9</v>
      </c>
      <c r="I77" s="245">
        <f t="shared" si="16"/>
        <v>0</v>
      </c>
      <c r="J77" s="224">
        <f t="shared" si="18"/>
        <v>0</v>
      </c>
      <c r="K77" s="224">
        <f t="shared" si="19"/>
        <v>9</v>
      </c>
      <c r="L77" s="224">
        <f t="shared" si="20"/>
        <v>9</v>
      </c>
      <c r="M77" s="246">
        <f t="shared" si="21"/>
        <v>9</v>
      </c>
      <c r="N77" s="246">
        <f t="shared" si="22"/>
        <v>9</v>
      </c>
    </row>
    <row r="78" spans="1:22" s="247" customFormat="1">
      <c r="B78" s="269" t="str">
        <f t="shared" si="17"/>
        <v>Calf sf</v>
      </c>
      <c r="C78" s="269"/>
      <c r="D78" s="269"/>
      <c r="E78" s="269"/>
      <c r="F78" s="269"/>
      <c r="G78" s="245">
        <f t="shared" si="16"/>
        <v>5.5</v>
      </c>
      <c r="H78" s="245">
        <f t="shared" si="16"/>
        <v>5.5</v>
      </c>
      <c r="I78" s="245">
        <f t="shared" si="16"/>
        <v>0</v>
      </c>
      <c r="J78" s="224">
        <f t="shared" si="18"/>
        <v>0</v>
      </c>
      <c r="K78" s="224">
        <f t="shared" si="19"/>
        <v>5.5</v>
      </c>
      <c r="L78" s="224">
        <f t="shared" si="20"/>
        <v>5.5</v>
      </c>
      <c r="M78" s="246">
        <f t="shared" si="21"/>
        <v>5.5</v>
      </c>
      <c r="N78" s="246">
        <f t="shared" si="22"/>
        <v>5.5</v>
      </c>
    </row>
    <row r="79" spans="1:22" s="247" customFormat="1">
      <c r="B79" s="269" t="str">
        <f t="shared" si="17"/>
        <v>Arm girth relaxed</v>
      </c>
      <c r="C79" s="269"/>
      <c r="D79" s="269"/>
      <c r="E79" s="269"/>
      <c r="F79" s="269"/>
      <c r="G79" s="245">
        <f t="shared" si="16"/>
        <v>34.799999999999997</v>
      </c>
      <c r="H79" s="245">
        <f t="shared" si="16"/>
        <v>34.799999999999997</v>
      </c>
      <c r="I79" s="245">
        <f t="shared" si="16"/>
        <v>0</v>
      </c>
      <c r="J79" s="224">
        <f t="shared" si="18"/>
        <v>0</v>
      </c>
      <c r="K79" s="224">
        <f t="shared" si="19"/>
        <v>34.799999999999997</v>
      </c>
      <c r="L79" s="224">
        <f t="shared" si="20"/>
        <v>34.799999999999997</v>
      </c>
      <c r="M79" s="246">
        <f t="shared" si="21"/>
        <v>34.799999999999997</v>
      </c>
      <c r="N79" s="246">
        <f t="shared" si="22"/>
        <v>34.799999999999997</v>
      </c>
    </row>
    <row r="80" spans="1:22" s="247" customFormat="1">
      <c r="B80" s="269" t="str">
        <f>B27</f>
        <v>Arm girth flexed and tensed</v>
      </c>
      <c r="C80" s="269"/>
      <c r="D80" s="269"/>
      <c r="E80" s="269"/>
      <c r="F80" s="269"/>
      <c r="G80" s="245">
        <f t="shared" ref="G80:I83" si="23">+G27</f>
        <v>83.2</v>
      </c>
      <c r="H80" s="245">
        <f t="shared" si="23"/>
        <v>38.299999999999997</v>
      </c>
      <c r="I80" s="245">
        <f t="shared" si="23"/>
        <v>38.299999999999997</v>
      </c>
      <c r="J80" s="224">
        <f t="shared" si="18"/>
        <v>44.900000000000006</v>
      </c>
      <c r="K80" s="224">
        <f t="shared" si="19"/>
        <v>44.900000000000006</v>
      </c>
      <c r="L80" s="224">
        <f t="shared" si="20"/>
        <v>0</v>
      </c>
      <c r="M80" s="246">
        <f t="shared" si="21"/>
        <v>38.299999999999997</v>
      </c>
      <c r="N80" s="246">
        <f t="shared" si="22"/>
        <v>38.299999999999997</v>
      </c>
    </row>
    <row r="81" spans="1:14" s="247" customFormat="1">
      <c r="B81" s="269" t="str">
        <f>B28</f>
        <v>Waist girth</v>
      </c>
      <c r="C81" s="269"/>
      <c r="D81" s="269"/>
      <c r="E81" s="269"/>
      <c r="F81" s="269"/>
      <c r="G81" s="245">
        <f t="shared" si="23"/>
        <v>77.5</v>
      </c>
      <c r="H81" s="245">
        <f t="shared" si="23"/>
        <v>77.5</v>
      </c>
      <c r="I81" s="245">
        <f t="shared" si="23"/>
        <v>0</v>
      </c>
      <c r="J81" s="224">
        <f t="shared" si="18"/>
        <v>0</v>
      </c>
      <c r="K81" s="224">
        <f t="shared" si="19"/>
        <v>77.5</v>
      </c>
      <c r="L81" s="224">
        <f t="shared" si="20"/>
        <v>77.5</v>
      </c>
      <c r="M81" s="246">
        <f t="shared" si="21"/>
        <v>77.5</v>
      </c>
      <c r="N81" s="246">
        <f t="shared" si="22"/>
        <v>77.5</v>
      </c>
    </row>
    <row r="82" spans="1:14" s="247" customFormat="1">
      <c r="B82" s="269" t="str">
        <f>B29</f>
        <v>Hips girth</v>
      </c>
      <c r="C82" s="269"/>
      <c r="D82" s="269"/>
      <c r="E82" s="269"/>
      <c r="F82" s="269"/>
      <c r="G82" s="245">
        <f t="shared" si="23"/>
        <v>93</v>
      </c>
      <c r="H82" s="245">
        <f t="shared" si="23"/>
        <v>93</v>
      </c>
      <c r="I82" s="245">
        <f t="shared" si="23"/>
        <v>0</v>
      </c>
      <c r="J82" s="224">
        <f t="shared" si="18"/>
        <v>0</v>
      </c>
      <c r="K82" s="224">
        <f t="shared" si="19"/>
        <v>93</v>
      </c>
      <c r="L82" s="224">
        <f t="shared" si="20"/>
        <v>93</v>
      </c>
      <c r="M82" s="246">
        <f t="shared" si="21"/>
        <v>93</v>
      </c>
      <c r="N82" s="246">
        <f t="shared" si="22"/>
        <v>93</v>
      </c>
    </row>
    <row r="83" spans="1:14">
      <c r="A83" s="247"/>
      <c r="B83" s="269" t="str">
        <f>B30</f>
        <v>Thigh middle girth</v>
      </c>
      <c r="C83" s="269"/>
      <c r="D83" s="269"/>
      <c r="E83" s="269"/>
      <c r="F83" s="269"/>
      <c r="G83" s="245">
        <f t="shared" si="23"/>
        <v>53</v>
      </c>
      <c r="H83" s="245">
        <f t="shared" si="23"/>
        <v>53</v>
      </c>
      <c r="I83" s="245">
        <f t="shared" si="23"/>
        <v>0</v>
      </c>
      <c r="J83" s="224">
        <f t="shared" si="18"/>
        <v>0</v>
      </c>
      <c r="K83" s="224">
        <f t="shared" si="19"/>
        <v>53</v>
      </c>
      <c r="L83" s="224">
        <f t="shared" si="20"/>
        <v>53</v>
      </c>
      <c r="M83" s="246">
        <f t="shared" si="21"/>
        <v>53</v>
      </c>
      <c r="N83" s="246">
        <f t="shared" si="22"/>
        <v>53</v>
      </c>
    </row>
    <row r="84" spans="1:14">
      <c r="B84" s="269" t="str">
        <f>B32</f>
        <v>Calf girth</v>
      </c>
      <c r="C84" s="269"/>
      <c r="D84" s="269"/>
      <c r="E84" s="269"/>
      <c r="F84" s="269"/>
      <c r="G84" s="245">
        <f>+G32</f>
        <v>37</v>
      </c>
      <c r="H84" s="245">
        <f>+H32</f>
        <v>37</v>
      </c>
      <c r="I84" s="245">
        <f>+I32</f>
        <v>0</v>
      </c>
      <c r="J84" s="224">
        <f t="shared" si="18"/>
        <v>0</v>
      </c>
      <c r="K84" s="224">
        <f t="shared" si="19"/>
        <v>37</v>
      </c>
      <c r="L84" s="224">
        <f t="shared" si="20"/>
        <v>37</v>
      </c>
      <c r="M84" s="246">
        <f t="shared" si="21"/>
        <v>37</v>
      </c>
      <c r="N84" s="246">
        <f t="shared" si="22"/>
        <v>37</v>
      </c>
    </row>
    <row r="85" spans="1:14">
      <c r="B85" s="269" t="str">
        <f>B34</f>
        <v>Humerus breadth</v>
      </c>
      <c r="C85" s="269"/>
      <c r="D85" s="269"/>
      <c r="E85" s="269"/>
      <c r="F85" s="269"/>
      <c r="G85" s="245">
        <f t="shared" ref="G85:I87" si="24">+G34</f>
        <v>7.1</v>
      </c>
      <c r="H85" s="245">
        <f t="shared" si="24"/>
        <v>7.1</v>
      </c>
      <c r="I85" s="245">
        <f t="shared" si="24"/>
        <v>0</v>
      </c>
      <c r="J85" s="224">
        <f t="shared" si="18"/>
        <v>0</v>
      </c>
      <c r="K85" s="224">
        <f t="shared" si="19"/>
        <v>7.1</v>
      </c>
      <c r="L85" s="224">
        <f t="shared" si="20"/>
        <v>7.1</v>
      </c>
      <c r="M85" s="246">
        <f t="shared" si="21"/>
        <v>7.1</v>
      </c>
      <c r="N85" s="246">
        <f t="shared" si="22"/>
        <v>7.1</v>
      </c>
    </row>
    <row r="86" spans="1:14">
      <c r="B86" s="269" t="str">
        <f>B35</f>
        <v>Bi-styloid breadth</v>
      </c>
      <c r="C86" s="269"/>
      <c r="D86" s="269"/>
      <c r="E86" s="269"/>
      <c r="F86" s="269"/>
      <c r="G86" s="245">
        <f t="shared" si="24"/>
        <v>5.8</v>
      </c>
      <c r="H86" s="245">
        <f t="shared" si="24"/>
        <v>5.8</v>
      </c>
      <c r="I86" s="245">
        <f t="shared" si="24"/>
        <v>0</v>
      </c>
      <c r="J86" s="224">
        <f t="shared" si="18"/>
        <v>0</v>
      </c>
      <c r="K86" s="224">
        <f t="shared" si="19"/>
        <v>5.8</v>
      </c>
      <c r="L86" s="224">
        <f t="shared" si="20"/>
        <v>5.8</v>
      </c>
      <c r="M86" s="246">
        <f t="shared" si="21"/>
        <v>5.8</v>
      </c>
      <c r="N86" s="246">
        <f t="shared" si="22"/>
        <v>5.8</v>
      </c>
    </row>
    <row r="87" spans="1:14">
      <c r="B87" s="269" t="str">
        <f>B36</f>
        <v>Femur breadth</v>
      </c>
      <c r="C87" s="269"/>
      <c r="D87" s="269"/>
      <c r="E87" s="269"/>
      <c r="F87" s="269"/>
      <c r="G87" s="245">
        <f t="shared" si="24"/>
        <v>10.3</v>
      </c>
      <c r="H87" s="245">
        <f t="shared" si="24"/>
        <v>10.199999999999999</v>
      </c>
      <c r="I87" s="245">
        <f t="shared" si="24"/>
        <v>10.199999999999999</v>
      </c>
      <c r="J87" s="224">
        <f t="shared" si="18"/>
        <v>0.10000000000000142</v>
      </c>
      <c r="K87" s="224">
        <f t="shared" si="19"/>
        <v>0.10000000000000142</v>
      </c>
      <c r="L87" s="224">
        <f t="shared" si="20"/>
        <v>0</v>
      </c>
      <c r="M87" s="246">
        <f t="shared" si="21"/>
        <v>10.199999999999999</v>
      </c>
      <c r="N87" s="246">
        <f t="shared" si="22"/>
        <v>10.199999999999999</v>
      </c>
    </row>
    <row r="88" spans="1:14">
      <c r="M88" s="103"/>
      <c r="N88" s="103"/>
    </row>
    <row r="89" spans="1:14">
      <c r="M89" s="103"/>
      <c r="N89" s="103"/>
    </row>
    <row r="90" spans="1:14">
      <c r="M90" s="103"/>
      <c r="N90" s="103"/>
    </row>
    <row r="91" spans="1:14">
      <c r="M91" s="103"/>
      <c r="N91" s="103"/>
    </row>
  </sheetData>
  <sheetProtection algorithmName="SHA-512" hashValue="UFpbNRvtDyNDyi/jI3kmKFSVvi2R3VehD0zDQ1OF5+uiXNhxs0gtcQJ8PVP80EmoCOzn80MB/bebxRcX4bcVaw==" saltValue="M0VOmf5solXlOOlficNn5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91"/>
  <sheetViews>
    <sheetView zoomScaleNormal="75" zoomScaleSheetLayoutView="75" workbookViewId="0">
      <selection activeCell="G10" sqref="G10"/>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49</v>
      </c>
      <c r="H4" s="71"/>
      <c r="I4" s="72"/>
      <c r="J4" s="118"/>
      <c r="K4" s="118"/>
      <c r="L4" s="111"/>
      <c r="M4" s="111"/>
      <c r="N4" s="111"/>
      <c r="O4" s="104"/>
      <c r="P4" s="104"/>
      <c r="Q4" s="113"/>
      <c r="R4" s="105" t="str">
        <f t="shared" ref="R4:R11" si="0">+B4</f>
        <v>Name</v>
      </c>
      <c r="S4" s="119"/>
      <c r="T4" s="119"/>
      <c r="U4" s="120" t="str">
        <f t="shared" ref="U4:U11" si="1">+G4</f>
        <v>Lorena</v>
      </c>
      <c r="V4" s="107"/>
      <c r="W4" s="107"/>
      <c r="X4" s="121"/>
      <c r="Y4" s="107"/>
      <c r="Z4" s="108"/>
      <c r="AA4" s="115"/>
    </row>
    <row r="5" spans="1:27" s="109" customFormat="1">
      <c r="B5" s="116" t="str">
        <f>IF(Info!D34,"Surname","Apellidos")</f>
        <v>Surname</v>
      </c>
      <c r="C5" s="116"/>
      <c r="D5" s="116"/>
      <c r="E5" s="110"/>
      <c r="F5" s="112"/>
      <c r="G5" s="81" t="s">
        <v>50</v>
      </c>
      <c r="H5" s="73"/>
      <c r="I5" s="74"/>
      <c r="J5" s="122"/>
      <c r="K5" s="122"/>
      <c r="L5" s="122"/>
      <c r="M5" s="122"/>
      <c r="N5" s="123"/>
      <c r="O5" s="104"/>
      <c r="P5" s="104"/>
      <c r="Q5" s="113"/>
      <c r="R5" s="113" t="str">
        <f t="shared" si="0"/>
        <v>Surname</v>
      </c>
      <c r="S5" s="124"/>
      <c r="T5" s="124"/>
      <c r="U5" s="125" t="str">
        <f t="shared" si="1"/>
        <v>Chirinos</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44311</v>
      </c>
      <c r="H10" s="76"/>
      <c r="I10" s="76"/>
      <c r="J10" s="111"/>
      <c r="K10" s="111"/>
      <c r="L10" s="111"/>
      <c r="M10" s="111"/>
      <c r="N10" s="122"/>
      <c r="O10" s="104"/>
      <c r="P10" s="104"/>
      <c r="Q10" s="113"/>
      <c r="R10" s="113" t="str">
        <f t="shared" si="0"/>
        <v>Date of Measurement</v>
      </c>
      <c r="S10" s="124"/>
      <c r="T10" s="124"/>
      <c r="U10" s="131">
        <f t="shared" si="1"/>
        <v>44311</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30239</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30239</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54.7</v>
      </c>
      <c r="H13" s="84">
        <v>54.7</v>
      </c>
      <c r="I13" s="84"/>
      <c r="J13" s="150"/>
      <c r="K13" s="151">
        <f>+(H13-G13)/(AVERAGE(G13:H13))</f>
        <v>0</v>
      </c>
      <c r="L13" s="152" t="str">
        <f>IF(ABS(K13)&gt;1%,"Yes","No")</f>
        <v>No</v>
      </c>
      <c r="M13" s="150"/>
      <c r="N13" s="153">
        <f t="shared" ref="N13:N25" si="2">IF(I13=0,AVERAGE(G13,H13),MEDIAN(G13,H13,I13))</f>
        <v>54.7</v>
      </c>
      <c r="O13" s="154"/>
      <c r="P13" s="154"/>
      <c r="Q13" s="155"/>
      <c r="R13" s="156" t="str">
        <f t="shared" ref="R13:R36" si="3">+B13</f>
        <v>Mass</v>
      </c>
      <c r="S13" s="157"/>
      <c r="T13" s="157"/>
      <c r="U13" s="158">
        <f t="shared" ref="U13:U25" si="4">+N13</f>
        <v>54.7</v>
      </c>
      <c r="V13" s="159" t="s">
        <v>25</v>
      </c>
      <c r="W13" s="160">
        <f>1/8.6*(+U13*((170.18/U$14)^3)-64.58)</f>
        <v>-0.8980065370631094</v>
      </c>
      <c r="X13" s="121"/>
      <c r="Y13" s="107"/>
      <c r="Z13" s="108"/>
      <c r="AA13" s="115"/>
    </row>
    <row r="14" spans="1:27" s="109" customFormat="1">
      <c r="B14" s="161" t="str">
        <f>IF(Info!D34,"Stature","Talla")</f>
        <v>Stature</v>
      </c>
      <c r="C14" s="116"/>
      <c r="D14" s="116"/>
      <c r="E14" s="122"/>
      <c r="F14" s="110"/>
      <c r="G14" s="85">
        <v>168</v>
      </c>
      <c r="H14" s="85">
        <v>168</v>
      </c>
      <c r="I14" s="85"/>
      <c r="J14" s="134"/>
      <c r="K14" s="162">
        <f t="shared" ref="K14:K34" si="5">+(H14-G14)/(AVERAGE(G14:H14))</f>
        <v>0</v>
      </c>
      <c r="L14" s="163" t="str">
        <f>IF(ABS(K14)&gt;1%,"Yes","No")</f>
        <v>No</v>
      </c>
      <c r="M14" s="134"/>
      <c r="N14" s="164">
        <f t="shared" si="2"/>
        <v>168</v>
      </c>
      <c r="O14" s="154"/>
      <c r="P14" s="154"/>
      <c r="Q14" s="155"/>
      <c r="R14" s="155" t="str">
        <f t="shared" si="3"/>
        <v>Stature</v>
      </c>
      <c r="S14" s="165"/>
      <c r="T14" s="165"/>
      <c r="U14" s="166">
        <f t="shared" si="4"/>
        <v>168</v>
      </c>
      <c r="V14" s="167" t="s">
        <v>26</v>
      </c>
      <c r="W14" s="132"/>
      <c r="X14" s="132"/>
      <c r="Y14" s="133"/>
      <c r="Z14" s="115"/>
      <c r="AA14" s="115"/>
    </row>
    <row r="15" spans="1:27" s="109" customFormat="1">
      <c r="B15" s="161" t="str">
        <f>IF(Info!D34,"Sitting height","Talla sentado")</f>
        <v>Sitting height</v>
      </c>
      <c r="C15" s="116"/>
      <c r="D15" s="116"/>
      <c r="E15" s="122"/>
      <c r="F15" s="110"/>
      <c r="G15" s="87">
        <v>86.5</v>
      </c>
      <c r="H15" s="87">
        <v>86.5</v>
      </c>
      <c r="I15" s="87"/>
      <c r="J15" s="134"/>
      <c r="K15" s="162">
        <f t="shared" si="5"/>
        <v>0</v>
      </c>
      <c r="L15" s="163" t="str">
        <f>IF(ABS(K15)&gt;1%,"Yes","No")</f>
        <v>No</v>
      </c>
      <c r="M15" s="134"/>
      <c r="N15" s="164">
        <f t="shared" si="2"/>
        <v>86.5</v>
      </c>
      <c r="O15" s="154"/>
      <c r="P15" s="154"/>
      <c r="Q15" s="155"/>
      <c r="R15" s="155" t="str">
        <f t="shared" si="3"/>
        <v>Sitting height</v>
      </c>
      <c r="S15" s="165"/>
      <c r="T15" s="165"/>
      <c r="U15" s="166">
        <f t="shared" si="4"/>
        <v>86.5</v>
      </c>
      <c r="V15" s="167" t="s">
        <v>26</v>
      </c>
      <c r="W15" s="32">
        <f>1/4.5*(+U15*((170.18/U$14)^1)-89.92)</f>
        <v>-0.51056878306878339</v>
      </c>
      <c r="X15" s="132"/>
      <c r="Y15" s="133"/>
      <c r="Z15" s="115"/>
      <c r="AA15" s="115"/>
    </row>
    <row r="16" spans="1:27" s="109" customFormat="1" ht="13.8" thickBot="1">
      <c r="B16" s="161" t="str">
        <f>IF(Info!D34,"Arm Span","Envergadura de brazos")</f>
        <v>Arm Span</v>
      </c>
      <c r="C16" s="116"/>
      <c r="D16" s="116"/>
      <c r="E16" s="122"/>
      <c r="F16" s="110"/>
      <c r="G16" s="87">
        <v>168</v>
      </c>
      <c r="H16" s="87">
        <v>168</v>
      </c>
      <c r="I16" s="87"/>
      <c r="J16" s="134"/>
      <c r="K16" s="162">
        <f t="shared" si="5"/>
        <v>0</v>
      </c>
      <c r="L16" s="163" t="str">
        <f>IF(ABS(K16)&gt;1%,"Yes","No")</f>
        <v>No</v>
      </c>
      <c r="M16" s="134"/>
      <c r="N16" s="164">
        <f t="shared" si="2"/>
        <v>168</v>
      </c>
      <c r="O16" s="154"/>
      <c r="P16" s="154"/>
      <c r="Q16" s="155"/>
      <c r="R16" s="168" t="str">
        <f t="shared" si="3"/>
        <v>Arm Span</v>
      </c>
      <c r="S16" s="169"/>
      <c r="T16" s="169"/>
      <c r="U16" s="170">
        <f t="shared" si="4"/>
        <v>168</v>
      </c>
      <c r="V16" s="171" t="s">
        <v>26</v>
      </c>
      <c r="W16" s="33">
        <f>1/7.41*(+U16*((170.18/U$14)^1)-172.35)</f>
        <v>-0.29284750337381749</v>
      </c>
      <c r="X16" s="172"/>
      <c r="Y16" s="173"/>
      <c r="Z16" s="174"/>
      <c r="AA16" s="115"/>
    </row>
    <row r="17" spans="1:27" ht="18" customHeight="1" thickTop="1">
      <c r="A17" s="109"/>
      <c r="B17" s="146" t="str">
        <f>IF(Info!D34,"Triceps sf","PL Tríceps")</f>
        <v>Triceps sf</v>
      </c>
      <c r="C17" s="147"/>
      <c r="D17" s="147"/>
      <c r="E17" s="148"/>
      <c r="F17" s="149"/>
      <c r="G17" s="84">
        <v>10</v>
      </c>
      <c r="H17" s="84">
        <v>10</v>
      </c>
      <c r="I17" s="84"/>
      <c r="J17" s="150"/>
      <c r="K17" s="151">
        <f t="shared" si="5"/>
        <v>0</v>
      </c>
      <c r="L17" s="152" t="str">
        <f t="shared" ref="L17:L24" si="6">IF(ABS(K17)&gt;5%,"Yes","No")</f>
        <v>No</v>
      </c>
      <c r="M17" s="150"/>
      <c r="N17" s="153">
        <f t="shared" si="2"/>
        <v>10</v>
      </c>
      <c r="O17" s="154"/>
      <c r="P17" s="154"/>
      <c r="Q17" s="155"/>
      <c r="R17" s="156" t="str">
        <f t="shared" si="3"/>
        <v>Triceps sf</v>
      </c>
      <c r="S17" s="157"/>
      <c r="T17" s="157"/>
      <c r="U17" s="175">
        <f t="shared" si="4"/>
        <v>10</v>
      </c>
      <c r="V17" s="176" t="s">
        <v>27</v>
      </c>
      <c r="W17" s="177">
        <f>1/4.47*(+U17*((170.18/U$14)^1)-15.4)</f>
        <v>-1.1790241823798873</v>
      </c>
      <c r="X17" s="178"/>
      <c r="Y17" s="176"/>
      <c r="Z17" s="179"/>
      <c r="AA17" s="145"/>
    </row>
    <row r="18" spans="1:27" ht="18" customHeight="1">
      <c r="B18" s="161" t="str">
        <f>IF(Info!D34,"Subscapular sf","PL Subescapular")</f>
        <v>Subscapular sf</v>
      </c>
      <c r="C18" s="116"/>
      <c r="D18" s="116"/>
      <c r="E18" s="122"/>
      <c r="F18" s="110"/>
      <c r="G18" s="85">
        <v>8</v>
      </c>
      <c r="H18" s="85">
        <v>8</v>
      </c>
      <c r="I18" s="85"/>
      <c r="J18" s="134"/>
      <c r="K18" s="162">
        <f t="shared" si="5"/>
        <v>0</v>
      </c>
      <c r="L18" s="163" t="str">
        <f t="shared" si="6"/>
        <v>No</v>
      </c>
      <c r="M18" s="134"/>
      <c r="N18" s="164">
        <f t="shared" si="2"/>
        <v>8</v>
      </c>
      <c r="O18" s="154"/>
      <c r="P18" s="154"/>
      <c r="Q18" s="155"/>
      <c r="R18" s="155" t="str">
        <f t="shared" si="3"/>
        <v>Subscapular sf</v>
      </c>
      <c r="S18" s="165"/>
      <c r="T18" s="165"/>
      <c r="U18" s="180">
        <f t="shared" si="4"/>
        <v>8</v>
      </c>
      <c r="V18" s="143" t="s">
        <v>27</v>
      </c>
      <c r="W18" s="32">
        <f>1/5.07*(+U18*((170.18/U$14)^1)-17.2)</f>
        <v>-1.7941204095050245</v>
      </c>
      <c r="X18" s="181"/>
      <c r="Y18" s="143"/>
      <c r="Z18" s="145"/>
      <c r="AA18" s="145"/>
    </row>
    <row r="19" spans="1:27" ht="18" customHeight="1">
      <c r="B19" s="161" t="str">
        <f>IF(Info!D34,"Biceps sf","PL Bíceps")</f>
        <v>Biceps sf</v>
      </c>
      <c r="C19" s="116"/>
      <c r="D19" s="116"/>
      <c r="E19" s="122"/>
      <c r="F19" s="110"/>
      <c r="G19" s="85">
        <v>3</v>
      </c>
      <c r="H19" s="85">
        <v>3</v>
      </c>
      <c r="I19" s="85"/>
      <c r="J19" s="134"/>
      <c r="K19" s="182">
        <f t="shared" si="5"/>
        <v>0</v>
      </c>
      <c r="L19" s="163" t="str">
        <f t="shared" si="6"/>
        <v>No</v>
      </c>
      <c r="M19" s="134"/>
      <c r="N19" s="164">
        <f t="shared" si="2"/>
        <v>3</v>
      </c>
      <c r="O19" s="154"/>
      <c r="P19" s="154"/>
      <c r="Q19" s="155"/>
      <c r="R19" s="155" t="str">
        <f t="shared" si="3"/>
        <v>Biceps sf</v>
      </c>
      <c r="S19" s="165"/>
      <c r="T19" s="165"/>
      <c r="U19" s="180">
        <f t="shared" si="4"/>
        <v>3</v>
      </c>
      <c r="V19" s="143" t="s">
        <v>27</v>
      </c>
      <c r="W19" s="32">
        <f>1/2*(+U19*((170.18/U$14)^1)-8)</f>
        <v>-2.4805357142857143</v>
      </c>
      <c r="X19" s="181"/>
      <c r="Y19" s="143"/>
      <c r="Z19" s="145"/>
      <c r="AA19" s="145"/>
    </row>
    <row r="20" spans="1:27" ht="18" customHeight="1">
      <c r="B20" s="161" t="str">
        <f>IF(Info!D34,"Iliac crest sf","PL Cresta Iliaca")</f>
        <v>Iliac crest sf</v>
      </c>
      <c r="C20" s="116"/>
      <c r="D20" s="116"/>
      <c r="E20" s="122"/>
      <c r="F20" s="110"/>
      <c r="G20" s="85">
        <v>13.5</v>
      </c>
      <c r="H20" s="85">
        <v>14</v>
      </c>
      <c r="I20" s="85">
        <v>14</v>
      </c>
      <c r="J20" s="134"/>
      <c r="K20" s="182">
        <f t="shared" si="5"/>
        <v>3.6363636363636362E-2</v>
      </c>
      <c r="L20" s="163" t="str">
        <f t="shared" si="6"/>
        <v>No</v>
      </c>
      <c r="M20" s="134"/>
      <c r="N20" s="164">
        <f t="shared" si="2"/>
        <v>14</v>
      </c>
      <c r="O20" s="154"/>
      <c r="P20" s="154"/>
      <c r="Q20" s="155"/>
      <c r="R20" s="155" t="str">
        <f t="shared" si="3"/>
        <v>Iliac crest sf</v>
      </c>
      <c r="S20" s="165"/>
      <c r="T20" s="165"/>
      <c r="U20" s="180">
        <f t="shared" si="4"/>
        <v>14</v>
      </c>
      <c r="V20" s="143" t="s">
        <v>28</v>
      </c>
      <c r="W20" s="32">
        <f>1/6.8*(+U20*((170.18/U$14)^1)-22.4)</f>
        <v>-1.2085784313725489</v>
      </c>
      <c r="X20" s="181"/>
      <c r="Y20" s="143"/>
      <c r="Z20" s="145"/>
      <c r="AA20" s="145"/>
    </row>
    <row r="21" spans="1:27" ht="18" customHeight="1">
      <c r="B21" s="161" t="str">
        <f>IF(Info!D34,"Supraspinale sf","PL Supraespinal")</f>
        <v>Supraspinale sf</v>
      </c>
      <c r="C21" s="116"/>
      <c r="D21" s="116"/>
      <c r="E21" s="122"/>
      <c r="F21" s="110"/>
      <c r="G21" s="85">
        <v>8</v>
      </c>
      <c r="H21" s="85">
        <v>8</v>
      </c>
      <c r="I21" s="85"/>
      <c r="J21" s="134"/>
      <c r="K21" s="162">
        <f t="shared" si="5"/>
        <v>0</v>
      </c>
      <c r="L21" s="163" t="str">
        <f t="shared" si="6"/>
        <v>No</v>
      </c>
      <c r="M21" s="134"/>
      <c r="N21" s="164">
        <f t="shared" si="2"/>
        <v>8</v>
      </c>
      <c r="O21" s="154"/>
      <c r="P21" s="154"/>
      <c r="Q21" s="155"/>
      <c r="R21" s="155" t="str">
        <f t="shared" si="3"/>
        <v>Supraspinale sf</v>
      </c>
      <c r="S21" s="165"/>
      <c r="T21" s="165"/>
      <c r="U21" s="180">
        <f t="shared" si="4"/>
        <v>8</v>
      </c>
      <c r="V21" s="143" t="s">
        <v>27</v>
      </c>
      <c r="W21" s="32">
        <f>1/4.47*(+U21*((170.18/U$14)^1)-15.4)</f>
        <v>-1.6322573772238205</v>
      </c>
      <c r="X21" s="181"/>
      <c r="Y21" s="143"/>
      <c r="Z21" s="145"/>
      <c r="AA21" s="145"/>
    </row>
    <row r="22" spans="1:27" ht="18" customHeight="1">
      <c r="B22" s="161" t="str">
        <f>IF(Info!D34,"Abdominal sf","PL Abdominal")</f>
        <v>Abdominal sf</v>
      </c>
      <c r="C22" s="116"/>
      <c r="D22" s="116"/>
      <c r="E22" s="122"/>
      <c r="F22" s="110"/>
      <c r="G22" s="85">
        <v>14</v>
      </c>
      <c r="H22" s="85">
        <v>14</v>
      </c>
      <c r="I22" s="85"/>
      <c r="J22" s="134"/>
      <c r="K22" s="162">
        <f t="shared" si="5"/>
        <v>0</v>
      </c>
      <c r="L22" s="163" t="str">
        <f t="shared" si="6"/>
        <v>No</v>
      </c>
      <c r="M22" s="134"/>
      <c r="N22" s="164">
        <f t="shared" si="2"/>
        <v>14</v>
      </c>
      <c r="O22" s="154"/>
      <c r="P22" s="154"/>
      <c r="Q22" s="155"/>
      <c r="R22" s="155" t="str">
        <f t="shared" si="3"/>
        <v>Abdominal sf</v>
      </c>
      <c r="S22" s="165"/>
      <c r="T22" s="165"/>
      <c r="U22" s="180">
        <f t="shared" si="4"/>
        <v>14</v>
      </c>
      <c r="V22" s="143" t="s">
        <v>27</v>
      </c>
      <c r="W22" s="32">
        <f>1/7.78*(+U22*((170.18/U$14)^1)-25.4)</f>
        <v>-1.4419451585261351</v>
      </c>
      <c r="X22" s="181"/>
      <c r="Y22" s="143"/>
      <c r="Z22" s="145"/>
      <c r="AA22" s="145"/>
    </row>
    <row r="23" spans="1:27" ht="18" customHeight="1">
      <c r="B23" s="161" t="str">
        <f>IF(Info!D34,"Thigh sf","PL Muslo")</f>
        <v>Thigh sf</v>
      </c>
      <c r="C23" s="116"/>
      <c r="D23" s="116"/>
      <c r="E23" s="122"/>
      <c r="F23" s="110"/>
      <c r="G23" s="85">
        <v>12</v>
      </c>
      <c r="H23" s="85">
        <v>12</v>
      </c>
      <c r="I23" s="85"/>
      <c r="J23" s="134"/>
      <c r="K23" s="182">
        <f t="shared" si="5"/>
        <v>0</v>
      </c>
      <c r="L23" s="163" t="str">
        <f t="shared" si="6"/>
        <v>No</v>
      </c>
      <c r="M23" s="134"/>
      <c r="N23" s="164">
        <f t="shared" si="2"/>
        <v>12</v>
      </c>
      <c r="O23" s="154"/>
      <c r="P23" s="154"/>
      <c r="Q23" s="155"/>
      <c r="R23" s="155" t="str">
        <f t="shared" si="3"/>
        <v>Thigh sf</v>
      </c>
      <c r="S23" s="165"/>
      <c r="T23" s="165"/>
      <c r="U23" s="180">
        <f t="shared" si="4"/>
        <v>12</v>
      </c>
      <c r="V23" s="143" t="s">
        <v>27</v>
      </c>
      <c r="W23" s="32">
        <f>1/8.33*(+U23*((170.18/U$14)^1)-27)</f>
        <v>-1.7820270965529068</v>
      </c>
      <c r="X23" s="181"/>
      <c r="Y23" s="143"/>
      <c r="Z23" s="145"/>
      <c r="AA23" s="145"/>
    </row>
    <row r="24" spans="1:27" ht="18" customHeight="1" thickBot="1">
      <c r="B24" s="183" t="str">
        <f>IF(Info!D34,"Calf sf","PL Pierna")</f>
        <v>Calf sf</v>
      </c>
      <c r="C24" s="184"/>
      <c r="D24" s="184"/>
      <c r="E24" s="185"/>
      <c r="F24" s="186"/>
      <c r="G24" s="86">
        <v>5.5</v>
      </c>
      <c r="H24" s="86">
        <v>5.5</v>
      </c>
      <c r="I24" s="86"/>
      <c r="J24" s="187"/>
      <c r="K24" s="182">
        <f t="shared" si="5"/>
        <v>0</v>
      </c>
      <c r="L24" s="188" t="str">
        <f t="shared" si="6"/>
        <v>No</v>
      </c>
      <c r="M24" s="187"/>
      <c r="N24" s="189">
        <f t="shared" si="2"/>
        <v>5.5</v>
      </c>
      <c r="O24" s="154"/>
      <c r="P24" s="154"/>
      <c r="Q24" s="155"/>
      <c r="R24" s="168" t="str">
        <f t="shared" si="3"/>
        <v>Calf sf</v>
      </c>
      <c r="S24" s="169"/>
      <c r="T24" s="169"/>
      <c r="U24" s="170">
        <f t="shared" si="4"/>
        <v>5.5</v>
      </c>
      <c r="V24" s="173" t="s">
        <v>27</v>
      </c>
      <c r="W24" s="33">
        <f>1/4.67*(+U24*((170.18/U$14)^1)-16)</f>
        <v>-2.2331115529723666</v>
      </c>
      <c r="X24" s="172"/>
      <c r="Y24" s="173"/>
      <c r="Z24" s="174"/>
      <c r="AA24" s="145"/>
    </row>
    <row r="25" spans="1:27" ht="18" customHeight="1">
      <c r="B25" s="161" t="str">
        <f>IF(Info!D34,"Arm girth relaxed","PR Brazo relajado")</f>
        <v>Arm girth relaxed</v>
      </c>
      <c r="C25" s="116"/>
      <c r="D25" s="116"/>
      <c r="E25" s="122"/>
      <c r="F25" s="110"/>
      <c r="G25" s="85">
        <v>25</v>
      </c>
      <c r="H25" s="85">
        <v>25</v>
      </c>
      <c r="I25" s="85"/>
      <c r="J25" s="134"/>
      <c r="K25" s="151">
        <f t="shared" si="5"/>
        <v>0</v>
      </c>
      <c r="L25" s="163" t="str">
        <f>IF(ABS(K25)&gt;1%,"Yes","No")</f>
        <v>No</v>
      </c>
      <c r="M25" s="134"/>
      <c r="N25" s="164">
        <f t="shared" si="2"/>
        <v>25</v>
      </c>
      <c r="O25" s="154"/>
      <c r="P25" s="154"/>
      <c r="Q25" s="155"/>
      <c r="R25" s="155" t="str">
        <f t="shared" si="3"/>
        <v>Arm girth relaxed</v>
      </c>
      <c r="S25" s="165"/>
      <c r="T25" s="165"/>
      <c r="U25" s="180">
        <f t="shared" si="4"/>
        <v>25</v>
      </c>
      <c r="V25" s="143" t="s">
        <v>26</v>
      </c>
      <c r="W25" s="32">
        <f>1/2.33*(+U25*((170.18/U$14)^1)-26.89)</f>
        <v>-0.6719292867361536</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21.858407346410207</v>
      </c>
      <c r="V26" s="143" t="s">
        <v>26</v>
      </c>
      <c r="W26" s="32">
        <f>1/1.91*(+U26*((170.18/U$14)^1)-22.05)</f>
        <v>4.8191729656222343E-2</v>
      </c>
      <c r="X26" s="181"/>
      <c r="Y26" s="143"/>
      <c r="Z26" s="145"/>
      <c r="AA26" s="145"/>
    </row>
    <row r="27" spans="1:27" ht="18" customHeight="1">
      <c r="B27" s="199" t="str">
        <f>IF(Info!D34,"Arm girth flexed and tensed","PR Brazo flexionado y contraído")</f>
        <v>Arm girth flexed and tensed</v>
      </c>
      <c r="C27" s="116"/>
      <c r="D27" s="116"/>
      <c r="E27" s="122"/>
      <c r="F27" s="110"/>
      <c r="G27" s="85">
        <v>26</v>
      </c>
      <c r="H27" s="85">
        <v>26.2</v>
      </c>
      <c r="I27" s="85">
        <v>26.2</v>
      </c>
      <c r="J27" s="134"/>
      <c r="K27" s="182">
        <f t="shared" si="5"/>
        <v>7.6628352490421183E-3</v>
      </c>
      <c r="L27" s="163" t="str">
        <f>IF(ABS(K27)&gt;1%,"Yes","No")</f>
        <v>No</v>
      </c>
      <c r="M27" s="134"/>
      <c r="N27" s="164">
        <f>IF(I27=0,AVERAGE(G27,H27),MEDIAN(G27,H27,I27))</f>
        <v>26.2</v>
      </c>
      <c r="O27" s="154"/>
      <c r="P27" s="154"/>
      <c r="Q27" s="155"/>
      <c r="R27" s="155" t="str">
        <f t="shared" si="3"/>
        <v>Arm girth flexed and tensed</v>
      </c>
      <c r="S27" s="165"/>
      <c r="T27" s="165"/>
      <c r="U27" s="180">
        <f>+N27</f>
        <v>26.2</v>
      </c>
      <c r="V27" s="143" t="s">
        <v>26</v>
      </c>
      <c r="W27" s="32">
        <f>1/2.37*(+U27*((170.18/U$14)^1)-29.41)</f>
        <v>-1.2109805103475997</v>
      </c>
      <c r="X27" s="181"/>
      <c r="Y27" s="143"/>
      <c r="Z27" s="145"/>
      <c r="AA27" s="145"/>
    </row>
    <row r="28" spans="1:27" ht="18" customHeight="1">
      <c r="B28" s="200" t="str">
        <f>IF(Info!D34,"Waist girth","PR Cintura")</f>
        <v>Waist girth</v>
      </c>
      <c r="C28" s="116"/>
      <c r="D28" s="116"/>
      <c r="E28" s="122"/>
      <c r="F28" s="110"/>
      <c r="G28" s="85">
        <v>64.5</v>
      </c>
      <c r="H28" s="85">
        <v>64.5</v>
      </c>
      <c r="I28" s="85"/>
      <c r="J28" s="134"/>
      <c r="K28" s="182">
        <f t="shared" si="5"/>
        <v>0</v>
      </c>
      <c r="L28" s="163" t="str">
        <f>IF(ABS(K28)&gt;1%,"Yes","No")</f>
        <v>No</v>
      </c>
      <c r="M28" s="134"/>
      <c r="N28" s="164">
        <f>IF(I28=0,AVERAGE(G28,H28),MEDIAN(G28,H28,I28))</f>
        <v>64.5</v>
      </c>
      <c r="O28" s="154"/>
      <c r="P28" s="154"/>
      <c r="Q28" s="155"/>
      <c r="R28" s="155" t="str">
        <f t="shared" si="3"/>
        <v>Waist girth</v>
      </c>
      <c r="S28" s="165"/>
      <c r="T28" s="165"/>
      <c r="U28" s="180">
        <f>+N28</f>
        <v>64.5</v>
      </c>
      <c r="V28" s="143" t="s">
        <v>26</v>
      </c>
      <c r="W28" s="32">
        <f>1/4.45*(+U28*((170.18/U$14)^1)-71.91)</f>
        <v>-1.477086677367575</v>
      </c>
      <c r="X28" s="181"/>
      <c r="Y28" s="143"/>
      <c r="Z28" s="145"/>
      <c r="AA28" s="145"/>
    </row>
    <row r="29" spans="1:27" ht="18" customHeight="1">
      <c r="B29" s="200" t="str">
        <f>IF(Info!D34,"Hips girth","PR Caderas")</f>
        <v>Hips girth</v>
      </c>
      <c r="C29" s="116"/>
      <c r="D29" s="116"/>
      <c r="E29" s="122"/>
      <c r="F29" s="110"/>
      <c r="G29" s="85">
        <v>91</v>
      </c>
      <c r="H29" s="85">
        <v>91.1</v>
      </c>
      <c r="I29" s="85"/>
      <c r="J29" s="134"/>
      <c r="K29" s="182">
        <f t="shared" si="5"/>
        <v>1.0982976386600144E-3</v>
      </c>
      <c r="L29" s="163" t="str">
        <f>IF(ABS(K29)&gt;1%,"Yes","No")</f>
        <v>No</v>
      </c>
      <c r="M29" s="134"/>
      <c r="N29" s="164">
        <f>IF(I29=0,AVERAGE(G29,H29),MEDIAN(G29,H29,I29))</f>
        <v>91.05</v>
      </c>
      <c r="O29" s="154"/>
      <c r="P29" s="154"/>
      <c r="Q29" s="155"/>
      <c r="R29" s="155" t="str">
        <f t="shared" si="3"/>
        <v>Hips girth</v>
      </c>
      <c r="S29" s="165"/>
      <c r="T29" s="165"/>
      <c r="U29" s="180">
        <f>+N29</f>
        <v>91.05</v>
      </c>
      <c r="V29" s="143" t="s">
        <v>26</v>
      </c>
      <c r="W29" s="32">
        <f>1/5.58*(+U29*((170.18/U$14)^1)-94.67)</f>
        <v>-0.43701036866359416</v>
      </c>
      <c r="X29" s="181"/>
      <c r="Y29" s="143"/>
      <c r="Z29" s="145"/>
      <c r="AA29" s="145"/>
    </row>
    <row r="30" spans="1:27" ht="18" customHeight="1">
      <c r="B30" s="200" t="str">
        <f>IF(Info!D34,"Thigh middle girth","PR Muslo medio")</f>
        <v>Thigh middle girth</v>
      </c>
      <c r="C30" s="116"/>
      <c r="D30" s="116"/>
      <c r="E30" s="122"/>
      <c r="F30" s="110"/>
      <c r="G30" s="85">
        <v>45.5</v>
      </c>
      <c r="H30" s="85">
        <v>45.5</v>
      </c>
      <c r="I30" s="85"/>
      <c r="J30" s="134"/>
      <c r="K30" s="182">
        <f>+(H30-G30)/(AVERAGE(G30:H30))</f>
        <v>0</v>
      </c>
      <c r="L30" s="163" t="str">
        <f>IF(ABS(K30)&gt;1%,"Yes","No")</f>
        <v>No</v>
      </c>
      <c r="M30" s="134"/>
      <c r="N30" s="164">
        <f>IF(I30=0,AVERAGE(G30,H30),MEDIAN(G30,H30,I30))</f>
        <v>45.5</v>
      </c>
      <c r="O30" s="154"/>
      <c r="P30" s="154"/>
      <c r="Q30" s="155"/>
      <c r="R30" s="155" t="str">
        <f t="shared" si="3"/>
        <v>Thigh middle girth</v>
      </c>
      <c r="S30" s="165"/>
      <c r="T30" s="165"/>
      <c r="U30" s="180">
        <f>+N30</f>
        <v>45.5</v>
      </c>
      <c r="V30" s="143" t="s">
        <v>26</v>
      </c>
      <c r="W30" s="32">
        <f>1/4.56*(+U30*((170.18/U$14)^1)-53.2)</f>
        <v>-1.5591191520467838</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41.730088815692248</v>
      </c>
      <c r="V31" s="143" t="s">
        <v>26</v>
      </c>
      <c r="W31" s="32">
        <f>1/3.59*(+U31*((170.18/U$14)^1)-47.34)</f>
        <v>-1.4118143741635065</v>
      </c>
      <c r="X31" s="181"/>
      <c r="Y31" s="143"/>
      <c r="Z31" s="145"/>
      <c r="AA31" s="145"/>
    </row>
    <row r="32" spans="1:27" ht="18" customHeight="1">
      <c r="B32" s="161" t="str">
        <f>IF(Info!D34,"Calf girth","PR Pierna")</f>
        <v>Calf girth</v>
      </c>
      <c r="C32" s="116"/>
      <c r="D32" s="116"/>
      <c r="E32" s="122"/>
      <c r="F32" s="110"/>
      <c r="G32" s="85">
        <v>32.5</v>
      </c>
      <c r="H32" s="85">
        <v>32.5</v>
      </c>
      <c r="I32" s="85"/>
      <c r="J32" s="134"/>
      <c r="K32" s="182">
        <f t="shared" si="5"/>
        <v>0</v>
      </c>
      <c r="L32" s="163" t="str">
        <f>IF(ABS(K32)&gt;1%,"Yes","No")</f>
        <v>No</v>
      </c>
      <c r="M32" s="134"/>
      <c r="N32" s="164">
        <f>IF(I32=0,AVERAGE(G32,H32),MEDIAN(G32,H32,I32))</f>
        <v>32.5</v>
      </c>
      <c r="O32" s="154"/>
      <c r="P32" s="154"/>
      <c r="Q32" s="155"/>
      <c r="R32" s="155" t="str">
        <f t="shared" si="3"/>
        <v>Calf girth</v>
      </c>
      <c r="S32" s="165"/>
      <c r="T32" s="165"/>
      <c r="U32" s="201">
        <f>+N32</f>
        <v>32.5</v>
      </c>
      <c r="V32" s="143" t="s">
        <v>26</v>
      </c>
      <c r="W32" s="32">
        <f>1/2.3*(+U32*((170.18/U$14)^1)-35.25)</f>
        <v>-1.0122929606625251</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30.772124040525615</v>
      </c>
      <c r="V33" s="173" t="s">
        <v>26</v>
      </c>
      <c r="W33" s="33">
        <f>1/1.97*(+U33*((170.18/U$14)^1)-30.22)</f>
        <v>0.4829588748387999</v>
      </c>
      <c r="X33" s="172"/>
      <c r="Y33" s="173"/>
      <c r="Z33" s="174"/>
      <c r="AA33" s="145"/>
    </row>
    <row r="34" spans="1:27" ht="18" customHeight="1" thickBot="1">
      <c r="B34" s="161" t="str">
        <f>IF(Info!D34,"Humerus breadth","D Húmero")</f>
        <v>Humerus breadth</v>
      </c>
      <c r="C34" s="116"/>
      <c r="D34" s="116"/>
      <c r="E34" s="122"/>
      <c r="F34" s="110"/>
      <c r="G34" s="87">
        <v>6</v>
      </c>
      <c r="H34" s="87">
        <v>6</v>
      </c>
      <c r="I34" s="87"/>
      <c r="J34" s="134"/>
      <c r="K34" s="151">
        <f t="shared" si="5"/>
        <v>0</v>
      </c>
      <c r="L34" s="209" t="str">
        <f>IF(ABS(K34)&gt;1%,"Yes","No")</f>
        <v>No</v>
      </c>
      <c r="M34" s="134"/>
      <c r="N34" s="210">
        <f>IF(I34=0,AVERAGE(G34,H34),MEDIAN(G34,H34,I34))</f>
        <v>6</v>
      </c>
      <c r="O34" s="154"/>
      <c r="P34" s="154"/>
      <c r="Q34" s="155"/>
      <c r="R34" s="155" t="str">
        <f t="shared" si="3"/>
        <v>Humerus breadth</v>
      </c>
      <c r="S34" s="165"/>
      <c r="T34" s="165"/>
      <c r="U34" s="180">
        <f>+N34</f>
        <v>6</v>
      </c>
      <c r="V34" s="143" t="s">
        <v>26</v>
      </c>
      <c r="W34" s="32">
        <f>1/0.35*(+U34*((170.18/U$14)^1)-6.48)</f>
        <v>-1.148979591836736</v>
      </c>
      <c r="X34" s="181"/>
      <c r="Y34" s="143"/>
      <c r="Z34" s="145"/>
      <c r="AA34" s="145"/>
    </row>
    <row r="35" spans="1:27" ht="18" customHeight="1">
      <c r="B35" s="161" t="str">
        <f>IF(Info!D34,"Bi-styloid breadth","D Biestiloideo")</f>
        <v>Bi-styloid breadth</v>
      </c>
      <c r="C35" s="116"/>
      <c r="D35" s="116"/>
      <c r="E35" s="122"/>
      <c r="F35" s="110"/>
      <c r="G35" s="91">
        <v>4.8</v>
      </c>
      <c r="H35" s="91">
        <v>4.8</v>
      </c>
      <c r="I35" s="91"/>
      <c r="J35" s="134"/>
      <c r="K35" s="151">
        <f>+(H35-G35)/(AVERAGE(G35:H35))</f>
        <v>0</v>
      </c>
      <c r="L35" s="209" t="str">
        <f>IF(ABS(K35)&gt;1%,"Yes","No")</f>
        <v>No</v>
      </c>
      <c r="M35" s="134"/>
      <c r="N35" s="210">
        <f>IF(I35=0,AVERAGE(G35,H35),MEDIAN(G35,H35,I35))</f>
        <v>4.8</v>
      </c>
      <c r="O35" s="154"/>
      <c r="P35" s="154"/>
      <c r="Q35" s="155"/>
      <c r="R35" s="155" t="str">
        <f t="shared" si="3"/>
        <v>Bi-styloid breadth</v>
      </c>
      <c r="S35" s="165"/>
      <c r="T35" s="165"/>
      <c r="U35" s="180">
        <f>+N35</f>
        <v>4.8</v>
      </c>
      <c r="V35" s="143" t="s">
        <v>26</v>
      </c>
      <c r="W35" s="32">
        <f>1/0.28*(+U35*((170.18/U$14)^1)-5.21)</f>
        <v>-1.2418367346938779</v>
      </c>
      <c r="X35" s="181"/>
      <c r="Y35" s="143"/>
      <c r="Z35" s="145"/>
      <c r="AA35" s="145"/>
    </row>
    <row r="36" spans="1:27" ht="18" customHeight="1" thickBot="1">
      <c r="B36" s="183" t="str">
        <f>IF(Info!D34,"Femur breadth","D Fémur")</f>
        <v>Femur breadth</v>
      </c>
      <c r="C36" s="184"/>
      <c r="D36" s="184"/>
      <c r="E36" s="185"/>
      <c r="F36" s="186"/>
      <c r="G36" s="86">
        <v>9.3000000000000007</v>
      </c>
      <c r="H36" s="86">
        <v>9.3000000000000007</v>
      </c>
      <c r="I36" s="86"/>
      <c r="J36" s="187"/>
      <c r="K36" s="182">
        <f>+(H36-G36)/(AVERAGE(G36:H36))</f>
        <v>0</v>
      </c>
      <c r="L36" s="188" t="str">
        <f>IF(ABS(K36)&gt;1%,"Yes","No")</f>
        <v>No</v>
      </c>
      <c r="M36" s="187"/>
      <c r="N36" s="189">
        <f>IF(I36=0,AVERAGE(G36,H36),MEDIAN(G36,H36,I36))</f>
        <v>9.3000000000000007</v>
      </c>
      <c r="O36" s="154"/>
      <c r="P36" s="154"/>
      <c r="Q36" s="155"/>
      <c r="R36" s="211" t="str">
        <f t="shared" si="3"/>
        <v>Femur breadth</v>
      </c>
      <c r="S36" s="212"/>
      <c r="T36" s="212"/>
      <c r="U36" s="213">
        <f>+N36</f>
        <v>9.3000000000000007</v>
      </c>
      <c r="V36" s="214" t="s">
        <v>26</v>
      </c>
      <c r="W36" s="215">
        <f>1/0.48*(+U36*((170.18/U$14)^1)-9.52)</f>
        <v>-0.20691964285713962</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2.6572435596503237</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3.1108499999999992</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3.8159898336955038</v>
      </c>
      <c r="V42" s="224">
        <f>U14/(U13^(1/3))</f>
        <v>44.256816712698779</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19.380668934240365</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0.70840197693574958</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1</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57.5</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74.5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12.3925</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11.903</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8.6232499999999987</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1</v>
      </c>
      <c r="H54" s="222">
        <f t="shared" si="12"/>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43.716176592594515</v>
      </c>
      <c r="V54" s="239" t="str">
        <f>'3'!V54</f>
        <v>(Lee)</v>
      </c>
      <c r="X54" s="235"/>
      <c r="Y54" s="227"/>
      <c r="Z54" s="145"/>
      <c r="AA54" s="145"/>
    </row>
    <row r="55" spans="1:27">
      <c r="B55" s="223" t="str">
        <f t="shared" si="7"/>
        <v>Waist girth</v>
      </c>
      <c r="C55" s="222"/>
      <c r="D55" s="223">
        <f t="shared" si="8"/>
        <v>1</v>
      </c>
      <c r="E55" s="223">
        <f t="shared" si="9"/>
        <v>0</v>
      </c>
      <c r="F55" s="223">
        <f t="shared" si="10"/>
        <v>0</v>
      </c>
      <c r="G55" s="223">
        <f t="shared" si="11"/>
        <v>0</v>
      </c>
      <c r="H55" s="222">
        <f t="shared" si="12"/>
        <v>0</v>
      </c>
      <c r="I55" s="224">
        <f t="shared" si="13"/>
        <v>0</v>
      </c>
      <c r="J55" s="224">
        <f t="shared" si="13"/>
        <v>0</v>
      </c>
      <c r="K55" s="224"/>
      <c r="L55" s="224">
        <f>COUNTIF(L13:L36,"yes")</f>
        <v>0</v>
      </c>
      <c r="M55" s="224"/>
      <c r="N55" s="224"/>
      <c r="Q55" s="113"/>
      <c r="R55" s="113"/>
      <c r="U55" s="35">
        <f>(U14/100*((0.0064*(U26^2))+(0.0032*(U31^2))+(0.0015*(U33^2)))+(2.56*IF(U8=1,1,0))+(0.136*(U10-U11)/365.25))*100/U13</f>
        <v>45.127770214229017</v>
      </c>
      <c r="V55" s="239" t="str">
        <f>'3'!V55</f>
        <v>(Poortmans)</v>
      </c>
      <c r="X55" s="240"/>
      <c r="Y55" s="227"/>
      <c r="Z55" s="145"/>
      <c r="AA55" s="145"/>
    </row>
    <row r="56" spans="1:27">
      <c r="B56" s="223" t="str">
        <f t="shared" si="7"/>
        <v>Hips girth</v>
      </c>
      <c r="C56" s="222"/>
      <c r="D56" s="223">
        <f t="shared" si="8"/>
        <v>0</v>
      </c>
      <c r="E56" s="223">
        <f t="shared" si="9"/>
        <v>0</v>
      </c>
      <c r="F56" s="223">
        <f t="shared" si="10"/>
        <v>0</v>
      </c>
      <c r="G56" s="223">
        <f t="shared" si="11"/>
        <v>0</v>
      </c>
      <c r="H56" s="222">
        <f t="shared" si="12"/>
        <v>0</v>
      </c>
      <c r="I56" s="224">
        <f t="shared" si="13"/>
        <v>0</v>
      </c>
      <c r="J56" s="224">
        <f t="shared" si="13"/>
        <v>0</v>
      </c>
      <c r="K56" s="224"/>
      <c r="L56" s="224"/>
      <c r="M56" s="224"/>
      <c r="N56" s="224"/>
      <c r="Q56" s="113"/>
      <c r="R56" s="113"/>
      <c r="S56" s="226" t="str">
        <f>'3'!S56</f>
        <v>Bone percentage</v>
      </c>
      <c r="U56" s="35">
        <f>(3.02*(((U14/100)^2)*(U35/100)*(U36/100)*400)^0.712)*100/U13</f>
        <v>17.463462984744162</v>
      </c>
      <c r="V56" s="239" t="str">
        <f>'3'!V56</f>
        <v>(Rocha)</v>
      </c>
      <c r="W56" s="241"/>
      <c r="X56" s="233"/>
      <c r="Y56" s="227"/>
      <c r="Z56" s="145"/>
      <c r="AA56" s="145"/>
    </row>
    <row r="57" spans="1:27">
      <c r="B57" s="223" t="str">
        <f t="shared" si="7"/>
        <v>Thigh middle girth</v>
      </c>
      <c r="C57" s="222"/>
      <c r="D57" s="223">
        <f t="shared" si="8"/>
        <v>1</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18</v>
      </c>
      <c r="E64" s="223">
        <f t="shared" si="15"/>
        <v>0</v>
      </c>
      <c r="F64" s="223">
        <f t="shared" si="15"/>
        <v>2</v>
      </c>
      <c r="G64" s="223">
        <f t="shared" si="15"/>
        <v>2</v>
      </c>
      <c r="H64" s="223">
        <f t="shared" si="15"/>
        <v>0</v>
      </c>
      <c r="I64" s="224">
        <f t="shared" si="15"/>
        <v>0</v>
      </c>
      <c r="J64" s="224">
        <f t="shared" si="15"/>
        <v>0</v>
      </c>
      <c r="K64" s="224"/>
      <c r="L64" s="224"/>
      <c r="M64" s="224"/>
      <c r="N64" s="224"/>
      <c r="O64" s="104"/>
      <c r="P64" s="104"/>
      <c r="Q64" s="104"/>
      <c r="R64" s="104"/>
      <c r="S64" s="104"/>
      <c r="T64" s="124"/>
      <c r="U64" s="124"/>
      <c r="V64" s="124"/>
    </row>
    <row r="65" spans="1:22" s="242" customFormat="1">
      <c r="B65" s="217"/>
      <c r="C65" s="217"/>
      <c r="D65" s="217"/>
      <c r="E65" s="217"/>
      <c r="F65" s="217"/>
      <c r="G65" s="217"/>
      <c r="H65" s="217"/>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54.7</v>
      </c>
      <c r="H67" s="245">
        <f t="shared" si="16"/>
        <v>54.7</v>
      </c>
      <c r="I67" s="245">
        <f t="shared" si="16"/>
        <v>0</v>
      </c>
      <c r="J67" s="224">
        <f>ABS(G67-H67)</f>
        <v>0</v>
      </c>
      <c r="K67" s="224">
        <f>ABS(I67-G67)</f>
        <v>54.7</v>
      </c>
      <c r="L67" s="224">
        <f>ABS(H67-I67)</f>
        <v>54.7</v>
      </c>
      <c r="M67" s="246">
        <f>IF(J67=MIN(J67:L67),G67,IF(K67=MIN(J67:L67),G67,H67))</f>
        <v>54.7</v>
      </c>
      <c r="N67" s="246">
        <f>IF(J67=MIN(J67:L67),H67,IF(K67=MIN(J67:L67),I67,I67))</f>
        <v>54.7</v>
      </c>
    </row>
    <row r="68" spans="1:22" s="247" customFormat="1">
      <c r="B68" s="269" t="str">
        <f t="shared" ref="B68:B79" si="17">B14</f>
        <v>Stature</v>
      </c>
      <c r="C68" s="269"/>
      <c r="D68" s="269"/>
      <c r="E68" s="269"/>
      <c r="F68" s="269"/>
      <c r="G68" s="245">
        <f t="shared" si="16"/>
        <v>168</v>
      </c>
      <c r="H68" s="245">
        <f t="shared" si="16"/>
        <v>168</v>
      </c>
      <c r="I68" s="245">
        <f t="shared" si="16"/>
        <v>0</v>
      </c>
      <c r="J68" s="224">
        <f t="shared" ref="J68:J87" si="18">ABS(G68-H68)</f>
        <v>0</v>
      </c>
      <c r="K68" s="224">
        <f t="shared" ref="K68:K87" si="19">ABS(I68-G68)</f>
        <v>168</v>
      </c>
      <c r="L68" s="224">
        <f t="shared" ref="L68:L87" si="20">ABS(H68-I68)</f>
        <v>168</v>
      </c>
      <c r="M68" s="246">
        <f t="shared" ref="M68:M87" si="21">IF(J68=MIN(J68:L68),G68,IF(K68=MIN(J68:L68),G68,H68))</f>
        <v>168</v>
      </c>
      <c r="N68" s="246">
        <f t="shared" ref="N68:N87" si="22">IF(J68=MIN(J68:L68),H68,IF(K68=MIN(J68:L68),I68,I68))</f>
        <v>168</v>
      </c>
    </row>
    <row r="69" spans="1:22" s="247" customFormat="1">
      <c r="B69" s="269" t="str">
        <f t="shared" si="17"/>
        <v>Sitting height</v>
      </c>
      <c r="C69" s="269"/>
      <c r="D69" s="269"/>
      <c r="E69" s="269"/>
      <c r="F69" s="269"/>
      <c r="G69" s="245">
        <f t="shared" si="16"/>
        <v>86.5</v>
      </c>
      <c r="H69" s="245">
        <f t="shared" si="16"/>
        <v>86.5</v>
      </c>
      <c r="I69" s="245">
        <f t="shared" si="16"/>
        <v>0</v>
      </c>
      <c r="J69" s="224">
        <f t="shared" si="18"/>
        <v>0</v>
      </c>
      <c r="K69" s="224">
        <f t="shared" si="19"/>
        <v>86.5</v>
      </c>
      <c r="L69" s="224">
        <f t="shared" si="20"/>
        <v>86.5</v>
      </c>
      <c r="M69" s="246">
        <f t="shared" si="21"/>
        <v>86.5</v>
      </c>
      <c r="N69" s="246">
        <f t="shared" si="22"/>
        <v>86.5</v>
      </c>
    </row>
    <row r="70" spans="1:22" s="247" customFormat="1">
      <c r="B70" s="269" t="str">
        <f t="shared" si="17"/>
        <v>Arm Span</v>
      </c>
      <c r="C70" s="269"/>
      <c r="D70" s="269"/>
      <c r="E70" s="269"/>
      <c r="F70" s="269"/>
      <c r="G70" s="245">
        <f t="shared" si="16"/>
        <v>168</v>
      </c>
      <c r="H70" s="245">
        <f t="shared" si="16"/>
        <v>168</v>
      </c>
      <c r="I70" s="245">
        <f t="shared" si="16"/>
        <v>0</v>
      </c>
      <c r="J70" s="224">
        <f t="shared" si="18"/>
        <v>0</v>
      </c>
      <c r="K70" s="224">
        <f t="shared" si="19"/>
        <v>168</v>
      </c>
      <c r="L70" s="224">
        <f t="shared" si="20"/>
        <v>168</v>
      </c>
      <c r="M70" s="246">
        <f t="shared" si="21"/>
        <v>168</v>
      </c>
      <c r="N70" s="246">
        <f t="shared" si="22"/>
        <v>168</v>
      </c>
    </row>
    <row r="71" spans="1:22" s="247" customFormat="1">
      <c r="B71" s="269" t="str">
        <f t="shared" si="17"/>
        <v>Triceps sf</v>
      </c>
      <c r="C71" s="269"/>
      <c r="D71" s="269"/>
      <c r="E71" s="269"/>
      <c r="F71" s="269"/>
      <c r="G71" s="245">
        <f t="shared" si="16"/>
        <v>10</v>
      </c>
      <c r="H71" s="245">
        <f t="shared" si="16"/>
        <v>10</v>
      </c>
      <c r="I71" s="245">
        <f t="shared" si="16"/>
        <v>0</v>
      </c>
      <c r="J71" s="224">
        <f t="shared" si="18"/>
        <v>0</v>
      </c>
      <c r="K71" s="224">
        <f t="shared" si="19"/>
        <v>10</v>
      </c>
      <c r="L71" s="224">
        <f t="shared" si="20"/>
        <v>10</v>
      </c>
      <c r="M71" s="246">
        <f t="shared" si="21"/>
        <v>10</v>
      </c>
      <c r="N71" s="246">
        <f t="shared" si="22"/>
        <v>10</v>
      </c>
    </row>
    <row r="72" spans="1:22" s="247" customFormat="1">
      <c r="B72" s="269" t="str">
        <f t="shared" si="17"/>
        <v>Subscapular sf</v>
      </c>
      <c r="C72" s="269"/>
      <c r="D72" s="269"/>
      <c r="E72" s="269"/>
      <c r="F72" s="269"/>
      <c r="G72" s="245">
        <f t="shared" si="16"/>
        <v>8</v>
      </c>
      <c r="H72" s="245">
        <f t="shared" si="16"/>
        <v>8</v>
      </c>
      <c r="I72" s="245">
        <f t="shared" si="16"/>
        <v>0</v>
      </c>
      <c r="J72" s="224">
        <f t="shared" si="18"/>
        <v>0</v>
      </c>
      <c r="K72" s="224">
        <f t="shared" si="19"/>
        <v>8</v>
      </c>
      <c r="L72" s="224">
        <f t="shared" si="20"/>
        <v>8</v>
      </c>
      <c r="M72" s="246">
        <f t="shared" si="21"/>
        <v>8</v>
      </c>
      <c r="N72" s="246">
        <f t="shared" si="22"/>
        <v>8</v>
      </c>
    </row>
    <row r="73" spans="1:22" s="247" customFormat="1">
      <c r="B73" s="269" t="str">
        <f t="shared" si="17"/>
        <v>Biceps sf</v>
      </c>
      <c r="C73" s="269"/>
      <c r="D73" s="269"/>
      <c r="E73" s="269"/>
      <c r="F73" s="269"/>
      <c r="G73" s="245">
        <f t="shared" si="16"/>
        <v>3</v>
      </c>
      <c r="H73" s="245">
        <f t="shared" si="16"/>
        <v>3</v>
      </c>
      <c r="I73" s="245">
        <f t="shared" si="16"/>
        <v>0</v>
      </c>
      <c r="J73" s="224">
        <f t="shared" si="18"/>
        <v>0</v>
      </c>
      <c r="K73" s="224">
        <f t="shared" si="19"/>
        <v>3</v>
      </c>
      <c r="L73" s="224">
        <f t="shared" si="20"/>
        <v>3</v>
      </c>
      <c r="M73" s="246">
        <f t="shared" si="21"/>
        <v>3</v>
      </c>
      <c r="N73" s="246">
        <f t="shared" si="22"/>
        <v>3</v>
      </c>
    </row>
    <row r="74" spans="1:22" s="247" customFormat="1">
      <c r="B74" s="269" t="str">
        <f t="shared" si="17"/>
        <v>Iliac crest sf</v>
      </c>
      <c r="C74" s="269"/>
      <c r="D74" s="269"/>
      <c r="E74" s="269"/>
      <c r="F74" s="269"/>
      <c r="G74" s="245">
        <f t="shared" si="16"/>
        <v>13.5</v>
      </c>
      <c r="H74" s="245">
        <f t="shared" si="16"/>
        <v>14</v>
      </c>
      <c r="I74" s="245">
        <f t="shared" si="16"/>
        <v>14</v>
      </c>
      <c r="J74" s="224">
        <f t="shared" si="18"/>
        <v>0.5</v>
      </c>
      <c r="K74" s="224">
        <f t="shared" si="19"/>
        <v>0.5</v>
      </c>
      <c r="L74" s="224">
        <f t="shared" si="20"/>
        <v>0</v>
      </c>
      <c r="M74" s="246">
        <f t="shared" si="21"/>
        <v>14</v>
      </c>
      <c r="N74" s="246">
        <f t="shared" si="22"/>
        <v>14</v>
      </c>
    </row>
    <row r="75" spans="1:22" s="247" customFormat="1">
      <c r="B75" s="269" t="str">
        <f t="shared" si="17"/>
        <v>Supraspinale sf</v>
      </c>
      <c r="C75" s="269"/>
      <c r="D75" s="269"/>
      <c r="E75" s="269"/>
      <c r="F75" s="269"/>
      <c r="G75" s="245">
        <f t="shared" si="16"/>
        <v>8</v>
      </c>
      <c r="H75" s="245">
        <f t="shared" si="16"/>
        <v>8</v>
      </c>
      <c r="I75" s="245">
        <f t="shared" si="16"/>
        <v>0</v>
      </c>
      <c r="J75" s="224">
        <f t="shared" si="18"/>
        <v>0</v>
      </c>
      <c r="K75" s="224">
        <f t="shared" si="19"/>
        <v>8</v>
      </c>
      <c r="L75" s="224">
        <f t="shared" si="20"/>
        <v>8</v>
      </c>
      <c r="M75" s="246">
        <f t="shared" si="21"/>
        <v>8</v>
      </c>
      <c r="N75" s="246">
        <f t="shared" si="22"/>
        <v>8</v>
      </c>
    </row>
    <row r="76" spans="1:22" s="247" customFormat="1">
      <c r="B76" s="269" t="str">
        <f t="shared" si="17"/>
        <v>Abdominal sf</v>
      </c>
      <c r="C76" s="269"/>
      <c r="D76" s="269"/>
      <c r="E76" s="269"/>
      <c r="F76" s="269"/>
      <c r="G76" s="245">
        <f t="shared" si="16"/>
        <v>14</v>
      </c>
      <c r="H76" s="245">
        <f t="shared" si="16"/>
        <v>14</v>
      </c>
      <c r="I76" s="245">
        <f t="shared" si="16"/>
        <v>0</v>
      </c>
      <c r="J76" s="224">
        <f t="shared" si="18"/>
        <v>0</v>
      </c>
      <c r="K76" s="224">
        <f t="shared" si="19"/>
        <v>14</v>
      </c>
      <c r="L76" s="224">
        <f t="shared" si="20"/>
        <v>14</v>
      </c>
      <c r="M76" s="246">
        <f t="shared" si="21"/>
        <v>14</v>
      </c>
      <c r="N76" s="246">
        <f t="shared" si="22"/>
        <v>14</v>
      </c>
    </row>
    <row r="77" spans="1:22" s="247" customFormat="1">
      <c r="A77" s="244"/>
      <c r="B77" s="269" t="str">
        <f t="shared" si="17"/>
        <v>Thigh sf</v>
      </c>
      <c r="C77" s="269"/>
      <c r="D77" s="269"/>
      <c r="E77" s="269"/>
      <c r="F77" s="269"/>
      <c r="G77" s="245">
        <f t="shared" si="16"/>
        <v>12</v>
      </c>
      <c r="H77" s="245">
        <f t="shared" si="16"/>
        <v>12</v>
      </c>
      <c r="I77" s="245">
        <f t="shared" si="16"/>
        <v>0</v>
      </c>
      <c r="J77" s="224">
        <f t="shared" si="18"/>
        <v>0</v>
      </c>
      <c r="K77" s="224">
        <f t="shared" si="19"/>
        <v>12</v>
      </c>
      <c r="L77" s="224">
        <f t="shared" si="20"/>
        <v>12</v>
      </c>
      <c r="M77" s="246">
        <f t="shared" si="21"/>
        <v>12</v>
      </c>
      <c r="N77" s="246">
        <f t="shared" si="22"/>
        <v>12</v>
      </c>
    </row>
    <row r="78" spans="1:22" s="247" customFormat="1">
      <c r="B78" s="269" t="str">
        <f t="shared" si="17"/>
        <v>Calf sf</v>
      </c>
      <c r="C78" s="269"/>
      <c r="D78" s="269"/>
      <c r="E78" s="269"/>
      <c r="F78" s="269"/>
      <c r="G78" s="245">
        <f t="shared" si="16"/>
        <v>5.5</v>
      </c>
      <c r="H78" s="245">
        <f t="shared" si="16"/>
        <v>5.5</v>
      </c>
      <c r="I78" s="245">
        <f t="shared" si="16"/>
        <v>0</v>
      </c>
      <c r="J78" s="224">
        <f t="shared" si="18"/>
        <v>0</v>
      </c>
      <c r="K78" s="224">
        <f t="shared" si="19"/>
        <v>5.5</v>
      </c>
      <c r="L78" s="224">
        <f t="shared" si="20"/>
        <v>5.5</v>
      </c>
      <c r="M78" s="246">
        <f t="shared" si="21"/>
        <v>5.5</v>
      </c>
      <c r="N78" s="246">
        <f t="shared" si="22"/>
        <v>5.5</v>
      </c>
    </row>
    <row r="79" spans="1:22" s="247" customFormat="1">
      <c r="B79" s="269" t="str">
        <f t="shared" si="17"/>
        <v>Arm girth relaxed</v>
      </c>
      <c r="C79" s="269"/>
      <c r="D79" s="269"/>
      <c r="E79" s="269"/>
      <c r="F79" s="269"/>
      <c r="G79" s="245">
        <f t="shared" si="16"/>
        <v>25</v>
      </c>
      <c r="H79" s="245">
        <f t="shared" si="16"/>
        <v>25</v>
      </c>
      <c r="I79" s="245">
        <f t="shared" si="16"/>
        <v>0</v>
      </c>
      <c r="J79" s="224">
        <f t="shared" si="18"/>
        <v>0</v>
      </c>
      <c r="K79" s="224">
        <f t="shared" si="19"/>
        <v>25</v>
      </c>
      <c r="L79" s="224">
        <f t="shared" si="20"/>
        <v>25</v>
      </c>
      <c r="M79" s="246">
        <f t="shared" si="21"/>
        <v>25</v>
      </c>
      <c r="N79" s="246">
        <f t="shared" si="22"/>
        <v>25</v>
      </c>
    </row>
    <row r="80" spans="1:22" s="247" customFormat="1">
      <c r="B80" s="269" t="str">
        <f>B27</f>
        <v>Arm girth flexed and tensed</v>
      </c>
      <c r="C80" s="269"/>
      <c r="D80" s="269"/>
      <c r="E80" s="269"/>
      <c r="F80" s="269"/>
      <c r="G80" s="245">
        <f t="shared" ref="G80:I83" si="23">+G27</f>
        <v>26</v>
      </c>
      <c r="H80" s="245">
        <f t="shared" si="23"/>
        <v>26.2</v>
      </c>
      <c r="I80" s="245">
        <f t="shared" si="23"/>
        <v>26.2</v>
      </c>
      <c r="J80" s="224">
        <f t="shared" si="18"/>
        <v>0.19999999999999929</v>
      </c>
      <c r="K80" s="224">
        <f t="shared" si="19"/>
        <v>0.19999999999999929</v>
      </c>
      <c r="L80" s="224">
        <f t="shared" si="20"/>
        <v>0</v>
      </c>
      <c r="M80" s="246">
        <f t="shared" si="21"/>
        <v>26.2</v>
      </c>
      <c r="N80" s="246">
        <f t="shared" si="22"/>
        <v>26.2</v>
      </c>
    </row>
    <row r="81" spans="1:14" s="247" customFormat="1">
      <c r="B81" s="269" t="str">
        <f>B28</f>
        <v>Waist girth</v>
      </c>
      <c r="C81" s="269"/>
      <c r="D81" s="269"/>
      <c r="E81" s="269"/>
      <c r="F81" s="269"/>
      <c r="G81" s="245">
        <f t="shared" si="23"/>
        <v>64.5</v>
      </c>
      <c r="H81" s="245">
        <f t="shared" si="23"/>
        <v>64.5</v>
      </c>
      <c r="I81" s="245">
        <f t="shared" si="23"/>
        <v>0</v>
      </c>
      <c r="J81" s="224">
        <f t="shared" si="18"/>
        <v>0</v>
      </c>
      <c r="K81" s="224">
        <f t="shared" si="19"/>
        <v>64.5</v>
      </c>
      <c r="L81" s="224">
        <f t="shared" si="20"/>
        <v>64.5</v>
      </c>
      <c r="M81" s="246">
        <f t="shared" si="21"/>
        <v>64.5</v>
      </c>
      <c r="N81" s="246">
        <f t="shared" si="22"/>
        <v>64.5</v>
      </c>
    </row>
    <row r="82" spans="1:14" s="247" customFormat="1">
      <c r="B82" s="269" t="str">
        <f>B29</f>
        <v>Hips girth</v>
      </c>
      <c r="C82" s="269"/>
      <c r="D82" s="269"/>
      <c r="E82" s="269"/>
      <c r="F82" s="269"/>
      <c r="G82" s="245">
        <f t="shared" si="23"/>
        <v>91</v>
      </c>
      <c r="H82" s="245">
        <f t="shared" si="23"/>
        <v>91.1</v>
      </c>
      <c r="I82" s="245">
        <f t="shared" si="23"/>
        <v>0</v>
      </c>
      <c r="J82" s="224">
        <f t="shared" si="18"/>
        <v>9.9999999999994316E-2</v>
      </c>
      <c r="K82" s="224">
        <f t="shared" si="19"/>
        <v>91</v>
      </c>
      <c r="L82" s="224">
        <f t="shared" si="20"/>
        <v>91.1</v>
      </c>
      <c r="M82" s="246">
        <f t="shared" si="21"/>
        <v>91</v>
      </c>
      <c r="N82" s="246">
        <f t="shared" si="22"/>
        <v>91.1</v>
      </c>
    </row>
    <row r="83" spans="1:14">
      <c r="A83" s="247"/>
      <c r="B83" s="269" t="str">
        <f>B30</f>
        <v>Thigh middle girth</v>
      </c>
      <c r="C83" s="269"/>
      <c r="D83" s="269"/>
      <c r="E83" s="269"/>
      <c r="F83" s="269"/>
      <c r="G83" s="245">
        <f t="shared" si="23"/>
        <v>45.5</v>
      </c>
      <c r="H83" s="245">
        <f t="shared" si="23"/>
        <v>45.5</v>
      </c>
      <c r="I83" s="245">
        <f t="shared" si="23"/>
        <v>0</v>
      </c>
      <c r="J83" s="224">
        <f t="shared" si="18"/>
        <v>0</v>
      </c>
      <c r="K83" s="224">
        <f t="shared" si="19"/>
        <v>45.5</v>
      </c>
      <c r="L83" s="224">
        <f t="shared" si="20"/>
        <v>45.5</v>
      </c>
      <c r="M83" s="246">
        <f t="shared" si="21"/>
        <v>45.5</v>
      </c>
      <c r="N83" s="246">
        <f t="shared" si="22"/>
        <v>45.5</v>
      </c>
    </row>
    <row r="84" spans="1:14">
      <c r="B84" s="269" t="str">
        <f>B32</f>
        <v>Calf girth</v>
      </c>
      <c r="C84" s="269"/>
      <c r="D84" s="269"/>
      <c r="E84" s="269"/>
      <c r="F84" s="269"/>
      <c r="G84" s="245">
        <f>+G32</f>
        <v>32.5</v>
      </c>
      <c r="H84" s="245">
        <f>+H32</f>
        <v>32.5</v>
      </c>
      <c r="I84" s="245">
        <f>+I32</f>
        <v>0</v>
      </c>
      <c r="J84" s="224">
        <f t="shared" si="18"/>
        <v>0</v>
      </c>
      <c r="K84" s="224">
        <f t="shared" si="19"/>
        <v>32.5</v>
      </c>
      <c r="L84" s="224">
        <f t="shared" si="20"/>
        <v>32.5</v>
      </c>
      <c r="M84" s="246">
        <f t="shared" si="21"/>
        <v>32.5</v>
      </c>
      <c r="N84" s="246">
        <f t="shared" si="22"/>
        <v>32.5</v>
      </c>
    </row>
    <row r="85" spans="1:14">
      <c r="B85" s="269" t="str">
        <f>B34</f>
        <v>Humerus breadth</v>
      </c>
      <c r="C85" s="269"/>
      <c r="D85" s="269"/>
      <c r="E85" s="269"/>
      <c r="F85" s="269"/>
      <c r="G85" s="245">
        <f t="shared" ref="G85:I87" si="24">+G34</f>
        <v>6</v>
      </c>
      <c r="H85" s="245">
        <f t="shared" si="24"/>
        <v>6</v>
      </c>
      <c r="I85" s="245">
        <f t="shared" si="24"/>
        <v>0</v>
      </c>
      <c r="J85" s="224">
        <f t="shared" si="18"/>
        <v>0</v>
      </c>
      <c r="K85" s="224">
        <f t="shared" si="19"/>
        <v>6</v>
      </c>
      <c r="L85" s="224">
        <f t="shared" si="20"/>
        <v>6</v>
      </c>
      <c r="M85" s="246">
        <f t="shared" si="21"/>
        <v>6</v>
      </c>
      <c r="N85" s="246">
        <f t="shared" si="22"/>
        <v>6</v>
      </c>
    </row>
    <row r="86" spans="1:14">
      <c r="B86" s="269" t="str">
        <f>B35</f>
        <v>Bi-styloid breadth</v>
      </c>
      <c r="C86" s="269"/>
      <c r="D86" s="269"/>
      <c r="E86" s="269"/>
      <c r="F86" s="269"/>
      <c r="G86" s="245">
        <f t="shared" si="24"/>
        <v>4.8</v>
      </c>
      <c r="H86" s="245">
        <f t="shared" si="24"/>
        <v>4.8</v>
      </c>
      <c r="I86" s="245">
        <f t="shared" si="24"/>
        <v>0</v>
      </c>
      <c r="J86" s="224">
        <f t="shared" si="18"/>
        <v>0</v>
      </c>
      <c r="K86" s="224">
        <f t="shared" si="19"/>
        <v>4.8</v>
      </c>
      <c r="L86" s="224">
        <f t="shared" si="20"/>
        <v>4.8</v>
      </c>
      <c r="M86" s="246">
        <f t="shared" si="21"/>
        <v>4.8</v>
      </c>
      <c r="N86" s="246">
        <f t="shared" si="22"/>
        <v>4.8</v>
      </c>
    </row>
    <row r="87" spans="1:14">
      <c r="B87" s="269" t="str">
        <f>B36</f>
        <v>Femur breadth</v>
      </c>
      <c r="C87" s="269"/>
      <c r="D87" s="269"/>
      <c r="E87" s="269"/>
      <c r="F87" s="269"/>
      <c r="G87" s="245">
        <f t="shared" si="24"/>
        <v>9.3000000000000007</v>
      </c>
      <c r="H87" s="245">
        <f t="shared" si="24"/>
        <v>9.3000000000000007</v>
      </c>
      <c r="I87" s="245">
        <f t="shared" si="24"/>
        <v>0</v>
      </c>
      <c r="J87" s="224">
        <f t="shared" si="18"/>
        <v>0</v>
      </c>
      <c r="K87" s="224">
        <f t="shared" si="19"/>
        <v>9.3000000000000007</v>
      </c>
      <c r="L87" s="224">
        <f t="shared" si="20"/>
        <v>9.3000000000000007</v>
      </c>
      <c r="M87" s="246">
        <f t="shared" si="21"/>
        <v>9.3000000000000007</v>
      </c>
      <c r="N87" s="246">
        <f t="shared" si="22"/>
        <v>9.3000000000000007</v>
      </c>
    </row>
    <row r="88" spans="1:14">
      <c r="M88" s="103"/>
      <c r="N88" s="103"/>
    </row>
    <row r="89" spans="1:14">
      <c r="M89" s="103"/>
      <c r="N89" s="103"/>
    </row>
    <row r="90" spans="1:14">
      <c r="M90" s="103"/>
      <c r="N90" s="103"/>
    </row>
    <row r="91" spans="1:14">
      <c r="M91" s="103"/>
      <c r="N91" s="103"/>
    </row>
  </sheetData>
  <sheetProtection algorithmName="SHA-512" hashValue="fgbwKKQ9KPnghbiwA1FKjtogQtB8tGbWJqVdMHAIoaZBHqVm3QIQAQ5a3sEFqDatclZnJsq5vJC64fLPWKngfg==" saltValue="ZHQJ8DD2pOdGEreuEc5e4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91"/>
  <sheetViews>
    <sheetView topLeftCell="B15" zoomScaleNormal="75" zoomScaleSheetLayoutView="75" workbookViewId="0">
      <selection activeCell="H11" sqref="H11"/>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72</v>
      </c>
      <c r="H4" s="71"/>
      <c r="I4" s="72"/>
      <c r="J4" s="118"/>
      <c r="K4" s="118"/>
      <c r="L4" s="111"/>
      <c r="M4" s="111"/>
      <c r="N4" s="111"/>
      <c r="O4" s="104"/>
      <c r="P4" s="104"/>
      <c r="Q4" s="113"/>
      <c r="R4" s="105" t="str">
        <f t="shared" ref="R4:R11" si="0">+B4</f>
        <v>Name</v>
      </c>
      <c r="S4" s="119"/>
      <c r="T4" s="119"/>
      <c r="U4" s="120" t="str">
        <f t="shared" ref="U4:U11" si="1">+G4</f>
        <v>Filippo</v>
      </c>
      <c r="V4" s="107"/>
      <c r="W4" s="107"/>
      <c r="X4" s="121"/>
      <c r="Y4" s="107"/>
      <c r="Z4" s="108"/>
      <c r="AA4" s="115"/>
    </row>
    <row r="5" spans="1:27" s="109" customFormat="1">
      <c r="B5" s="116" t="str">
        <f>IF(Info!D34,"Surname","Apellidos")</f>
        <v>Surname</v>
      </c>
      <c r="C5" s="116"/>
      <c r="D5" s="116"/>
      <c r="E5" s="110"/>
      <c r="F5" s="112"/>
      <c r="G5" s="81" t="s">
        <v>73</v>
      </c>
      <c r="H5" s="73"/>
      <c r="I5" s="74"/>
      <c r="J5" s="122"/>
      <c r="K5" s="122"/>
      <c r="L5" s="122"/>
      <c r="M5" s="122"/>
      <c r="N5" s="123"/>
      <c r="O5" s="104"/>
      <c r="P5" s="104"/>
      <c r="Q5" s="113"/>
      <c r="R5" s="113" t="str">
        <f t="shared" si="0"/>
        <v>Surname</v>
      </c>
      <c r="S5" s="124"/>
      <c r="T5" s="124"/>
      <c r="U5" s="125" t="str">
        <f t="shared" si="1"/>
        <v>Storino</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t="s">
        <v>74</v>
      </c>
      <c r="H8" s="74"/>
      <c r="I8" s="77"/>
      <c r="J8" s="129"/>
      <c r="K8" s="129"/>
      <c r="L8" s="129"/>
      <c r="M8" s="129"/>
      <c r="N8" s="123"/>
      <c r="O8" s="104"/>
      <c r="P8" s="104"/>
      <c r="Q8" s="113"/>
      <c r="R8" s="113" t="str">
        <f t="shared" si="0"/>
        <v>Sex (male=1, female=2)</v>
      </c>
      <c r="S8" s="124"/>
      <c r="T8" s="124"/>
      <c r="U8" s="125" t="str">
        <f t="shared" si="1"/>
        <v>Masculino</v>
      </c>
      <c r="V8" s="126"/>
      <c r="W8" s="126"/>
      <c r="X8" s="127"/>
      <c r="Y8" s="126"/>
      <c r="Z8" s="115"/>
      <c r="AA8" s="115"/>
    </row>
    <row r="9" spans="1:27" s="109" customFormat="1" ht="24" customHeight="1">
      <c r="B9" s="116" t="str">
        <f>IF(Info!D34,"Sport","Deporte")</f>
        <v>Sport</v>
      </c>
      <c r="C9" s="116"/>
      <c r="D9" s="116"/>
      <c r="E9" s="110"/>
      <c r="F9" s="111"/>
      <c r="G9" s="81" t="s">
        <v>63</v>
      </c>
      <c r="H9" s="75"/>
      <c r="I9" s="76"/>
      <c r="J9" s="111"/>
      <c r="K9" s="111"/>
      <c r="L9" s="111"/>
      <c r="M9" s="111"/>
      <c r="N9" s="111"/>
      <c r="O9" s="104"/>
      <c r="P9" s="104"/>
      <c r="Q9" s="113"/>
      <c r="R9" s="113" t="str">
        <f t="shared" si="0"/>
        <v>Sport</v>
      </c>
      <c r="S9" s="124"/>
      <c r="T9" s="124"/>
      <c r="U9" s="125" t="str">
        <f t="shared" si="1"/>
        <v>Gym</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44514</v>
      </c>
      <c r="H10" s="76"/>
      <c r="I10" s="76"/>
      <c r="J10" s="111"/>
      <c r="K10" s="111"/>
      <c r="L10" s="111"/>
      <c r="M10" s="111"/>
      <c r="N10" s="122"/>
      <c r="O10" s="104"/>
      <c r="P10" s="104"/>
      <c r="Q10" s="113"/>
      <c r="R10" s="113" t="str">
        <f t="shared" si="0"/>
        <v>Date of Measurement</v>
      </c>
      <c r="S10" s="124"/>
      <c r="T10" s="124"/>
      <c r="U10" s="131">
        <f t="shared" si="1"/>
        <v>44514</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34104</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34104</v>
      </c>
      <c r="V11" s="138"/>
      <c r="W11" s="138"/>
      <c r="X11" s="139"/>
      <c r="Y11" s="140"/>
      <c r="Z11" s="141"/>
      <c r="AA11" s="115"/>
    </row>
    <row r="12" spans="1:27" ht="14.4" thickTop="1" thickBot="1">
      <c r="A12" s="109"/>
      <c r="B12" s="116" t="str">
        <f>IF(Info!D34,"Measure","Medida")</f>
        <v>Measure</v>
      </c>
      <c r="C12" s="116"/>
      <c r="D12" s="116"/>
      <c r="E12" s="122"/>
      <c r="F12" s="112"/>
      <c r="G12" s="78"/>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v>85</v>
      </c>
      <c r="I13" s="84"/>
      <c r="J13" s="150"/>
      <c r="K13" s="151">
        <f>+(H13-G13)/(AVERAGE(G13:H13))</f>
        <v>1</v>
      </c>
      <c r="L13" s="152" t="str">
        <f>IF(ABS(K13)&gt;1%,"Yes","No")</f>
        <v>Yes</v>
      </c>
      <c r="M13" s="150"/>
      <c r="N13" s="153">
        <f t="shared" ref="N13:N25" si="2">IF(I13=0,AVERAGE(G13,H13),MEDIAN(G13,H13,I13))</f>
        <v>85</v>
      </c>
      <c r="O13" s="154"/>
      <c r="P13" s="154"/>
      <c r="Q13" s="155"/>
      <c r="R13" s="156" t="str">
        <f t="shared" ref="R13:R36" si="3">+B13</f>
        <v>Mass</v>
      </c>
      <c r="S13" s="157"/>
      <c r="T13" s="157"/>
      <c r="U13" s="158">
        <f t="shared" ref="U13:U25" si="4">+N13</f>
        <v>85</v>
      </c>
      <c r="V13" s="159" t="s">
        <v>25</v>
      </c>
      <c r="W13" s="160">
        <f>1/8.6*(+U13*((170.18/U$14)^3)-64.58)</f>
        <v>0.84342909679794154</v>
      </c>
      <c r="X13" s="121"/>
      <c r="Y13" s="107"/>
      <c r="Z13" s="108"/>
      <c r="AA13" s="115"/>
    </row>
    <row r="14" spans="1:27" s="109" customFormat="1">
      <c r="B14" s="161" t="str">
        <f>IF(Info!D34,"Stature","Talla")</f>
        <v>Stature</v>
      </c>
      <c r="C14" s="116"/>
      <c r="D14" s="116"/>
      <c r="E14" s="122"/>
      <c r="F14" s="110"/>
      <c r="G14" s="85"/>
      <c r="H14" s="85">
        <v>180</v>
      </c>
      <c r="I14" s="85"/>
      <c r="J14" s="134"/>
      <c r="K14" s="162">
        <f t="shared" ref="K14:K34" si="5">+(H14-G14)/(AVERAGE(G14:H14))</f>
        <v>1</v>
      </c>
      <c r="L14" s="163" t="str">
        <f>IF(ABS(K14)&gt;1%,"Yes","No")</f>
        <v>Yes</v>
      </c>
      <c r="M14" s="134"/>
      <c r="N14" s="164">
        <f t="shared" si="2"/>
        <v>180</v>
      </c>
      <c r="O14" s="154"/>
      <c r="P14" s="154"/>
      <c r="Q14" s="155"/>
      <c r="R14" s="155" t="str">
        <f t="shared" si="3"/>
        <v>Stature</v>
      </c>
      <c r="S14" s="165"/>
      <c r="T14" s="165"/>
      <c r="U14" s="166">
        <f t="shared" si="4"/>
        <v>180</v>
      </c>
      <c r="V14" s="167" t="s">
        <v>26</v>
      </c>
      <c r="W14" s="132"/>
      <c r="X14" s="132"/>
      <c r="Y14" s="133"/>
      <c r="Z14" s="115"/>
      <c r="AA14" s="115"/>
    </row>
    <row r="15" spans="1:27" s="109" customFormat="1">
      <c r="B15" s="161" t="str">
        <f>IF(Info!D34,"Sitting height","Talla sentado")</f>
        <v>Sitting height</v>
      </c>
      <c r="C15" s="116"/>
      <c r="D15" s="116"/>
      <c r="E15" s="122"/>
      <c r="F15" s="110"/>
      <c r="G15" s="87"/>
      <c r="H15" s="87">
        <v>86</v>
      </c>
      <c r="I15" s="87"/>
      <c r="J15" s="134"/>
      <c r="K15" s="162">
        <f t="shared" si="5"/>
        <v>1</v>
      </c>
      <c r="L15" s="163" t="str">
        <f>IF(ABS(K15)&gt;1%,"Yes","No")</f>
        <v>Yes</v>
      </c>
      <c r="M15" s="134"/>
      <c r="N15" s="164">
        <f t="shared" si="2"/>
        <v>86</v>
      </c>
      <c r="O15" s="154"/>
      <c r="P15" s="154"/>
      <c r="Q15" s="155"/>
      <c r="R15" s="155" t="str">
        <f t="shared" si="3"/>
        <v>Sitting height</v>
      </c>
      <c r="S15" s="165"/>
      <c r="T15" s="165"/>
      <c r="U15" s="166">
        <f t="shared" si="4"/>
        <v>86</v>
      </c>
      <c r="V15" s="167" t="s">
        <v>26</v>
      </c>
      <c r="W15" s="32">
        <f>1/4.5*(+U15*((170.18/U$14)^1)-89.92)</f>
        <v>-1.9137283950617276</v>
      </c>
      <c r="X15" s="132"/>
      <c r="Y15" s="133"/>
      <c r="Z15" s="115"/>
      <c r="AA15" s="115"/>
    </row>
    <row r="16" spans="1:27" s="109" customFormat="1" ht="13.8" thickBot="1">
      <c r="B16" s="161" t="str">
        <f>IF(Info!D34,"Arm Span","Envergadura de brazos")</f>
        <v>Arm Span</v>
      </c>
      <c r="C16" s="116"/>
      <c r="D16" s="116"/>
      <c r="E16" s="122"/>
      <c r="F16" s="110"/>
      <c r="G16" s="87"/>
      <c r="H16" s="87">
        <v>184</v>
      </c>
      <c r="I16" s="87"/>
      <c r="J16" s="134"/>
      <c r="K16" s="162">
        <f t="shared" si="5"/>
        <v>1</v>
      </c>
      <c r="L16" s="163" t="str">
        <f>IF(ABS(K16)&gt;1%,"Yes","No")</f>
        <v>Yes</v>
      </c>
      <c r="M16" s="134"/>
      <c r="N16" s="164">
        <f t="shared" si="2"/>
        <v>184</v>
      </c>
      <c r="O16" s="154"/>
      <c r="P16" s="154"/>
      <c r="Q16" s="155"/>
      <c r="R16" s="168" t="str">
        <f t="shared" si="3"/>
        <v>Arm Span</v>
      </c>
      <c r="S16" s="169"/>
      <c r="T16" s="169"/>
      <c r="U16" s="170">
        <f t="shared" si="4"/>
        <v>184</v>
      </c>
      <c r="V16" s="171" t="s">
        <v>26</v>
      </c>
      <c r="W16" s="33">
        <f>1/7.41*(+U16*((170.18/U$14)^1)-172.35)</f>
        <v>0.21751387014545251</v>
      </c>
      <c r="X16" s="172"/>
      <c r="Y16" s="173"/>
      <c r="Z16" s="174"/>
      <c r="AA16" s="115"/>
    </row>
    <row r="17" spans="1:27" ht="18" customHeight="1" thickTop="1">
      <c r="A17" s="109"/>
      <c r="B17" s="146" t="str">
        <f>IF(Info!D34,"Triceps sf","PL Tríceps")</f>
        <v>Triceps sf</v>
      </c>
      <c r="C17" s="147"/>
      <c r="D17" s="147"/>
      <c r="E17" s="148"/>
      <c r="F17" s="149"/>
      <c r="G17" s="84"/>
      <c r="H17" s="84">
        <v>8</v>
      </c>
      <c r="I17" s="84"/>
      <c r="J17" s="150"/>
      <c r="K17" s="151">
        <f t="shared" si="5"/>
        <v>1</v>
      </c>
      <c r="L17" s="152" t="str">
        <f t="shared" ref="L17:L24" si="6">IF(ABS(K17)&gt;5%,"Yes","No")</f>
        <v>Yes</v>
      </c>
      <c r="M17" s="150"/>
      <c r="N17" s="153">
        <f t="shared" si="2"/>
        <v>8</v>
      </c>
      <c r="O17" s="154"/>
      <c r="P17" s="154"/>
      <c r="Q17" s="155"/>
      <c r="R17" s="156" t="str">
        <f t="shared" si="3"/>
        <v>Triceps sf</v>
      </c>
      <c r="S17" s="157"/>
      <c r="T17" s="157"/>
      <c r="U17" s="175">
        <f t="shared" si="4"/>
        <v>8</v>
      </c>
      <c r="V17" s="176" t="s">
        <v>27</v>
      </c>
      <c r="W17" s="177">
        <f>1/4.47*(+U17*((170.18/U$14)^1)-15.4)</f>
        <v>-1.7531195625155358</v>
      </c>
      <c r="X17" s="178"/>
      <c r="Y17" s="176"/>
      <c r="Z17" s="179"/>
      <c r="AA17" s="145"/>
    </row>
    <row r="18" spans="1:27" ht="18" customHeight="1">
      <c r="B18" s="161" t="str">
        <f>IF(Info!D34,"Subscapular sf","PL Subescapular")</f>
        <v>Subscapular sf</v>
      </c>
      <c r="C18" s="116"/>
      <c r="D18" s="116"/>
      <c r="E18" s="122"/>
      <c r="F18" s="110"/>
      <c r="G18" s="85"/>
      <c r="H18" s="85">
        <v>9</v>
      </c>
      <c r="I18" s="85"/>
      <c r="J18" s="134"/>
      <c r="K18" s="162">
        <f t="shared" si="5"/>
        <v>1</v>
      </c>
      <c r="L18" s="163" t="str">
        <f t="shared" si="6"/>
        <v>Yes</v>
      </c>
      <c r="M18" s="134"/>
      <c r="N18" s="164">
        <f t="shared" si="2"/>
        <v>9</v>
      </c>
      <c r="O18" s="154"/>
      <c r="P18" s="154"/>
      <c r="Q18" s="155"/>
      <c r="R18" s="155" t="str">
        <f t="shared" si="3"/>
        <v>Subscapular sf</v>
      </c>
      <c r="S18" s="165"/>
      <c r="T18" s="165"/>
      <c r="U18" s="180">
        <f t="shared" si="4"/>
        <v>9</v>
      </c>
      <c r="V18" s="143" t="s">
        <v>27</v>
      </c>
      <c r="W18" s="32">
        <f>1/5.07*(+U18*((170.18/U$14)^1)-17.2)</f>
        <v>-1.7142011834319524</v>
      </c>
      <c r="X18" s="181"/>
      <c r="Y18" s="143"/>
      <c r="Z18" s="145"/>
      <c r="AA18" s="145"/>
    </row>
    <row r="19" spans="1:27" ht="18" customHeight="1">
      <c r="B19" s="161" t="str">
        <f>IF(Info!D34,"Biceps sf","PL Bíceps")</f>
        <v>Biceps sf</v>
      </c>
      <c r="C19" s="116"/>
      <c r="D19" s="116"/>
      <c r="E19" s="122"/>
      <c r="F19" s="110"/>
      <c r="G19" s="85"/>
      <c r="H19" s="85">
        <v>3</v>
      </c>
      <c r="I19" s="85"/>
      <c r="J19" s="134"/>
      <c r="K19" s="182">
        <f t="shared" si="5"/>
        <v>1</v>
      </c>
      <c r="L19" s="163" t="str">
        <f t="shared" si="6"/>
        <v>Yes</v>
      </c>
      <c r="M19" s="134"/>
      <c r="N19" s="164">
        <f t="shared" si="2"/>
        <v>3</v>
      </c>
      <c r="O19" s="154"/>
      <c r="P19" s="154"/>
      <c r="Q19" s="155"/>
      <c r="R19" s="155" t="str">
        <f t="shared" si="3"/>
        <v>Biceps sf</v>
      </c>
      <c r="S19" s="165"/>
      <c r="T19" s="165"/>
      <c r="U19" s="180">
        <f t="shared" si="4"/>
        <v>3</v>
      </c>
      <c r="V19" s="143" t="s">
        <v>27</v>
      </c>
      <c r="W19" s="32">
        <f>1/2*(+U19*((170.18/U$14)^1)-8)</f>
        <v>-2.581833333333333</v>
      </c>
      <c r="X19" s="181"/>
      <c r="Y19" s="143"/>
      <c r="Z19" s="145"/>
      <c r="AA19" s="145"/>
    </row>
    <row r="20" spans="1:27" ht="18" customHeight="1">
      <c r="B20" s="161" t="str">
        <f>IF(Info!D34,"Iliac crest sf","PL Cresta Iliaca")</f>
        <v>Iliac crest sf</v>
      </c>
      <c r="C20" s="116"/>
      <c r="D20" s="116"/>
      <c r="E20" s="122"/>
      <c r="F20" s="110"/>
      <c r="G20" s="85"/>
      <c r="H20" s="85">
        <v>20</v>
      </c>
      <c r="I20" s="85"/>
      <c r="J20" s="134"/>
      <c r="K20" s="182">
        <f t="shared" si="5"/>
        <v>1</v>
      </c>
      <c r="L20" s="163" t="str">
        <f t="shared" si="6"/>
        <v>Yes</v>
      </c>
      <c r="M20" s="134"/>
      <c r="N20" s="164">
        <f t="shared" si="2"/>
        <v>20</v>
      </c>
      <c r="O20" s="154"/>
      <c r="P20" s="154"/>
      <c r="Q20" s="155"/>
      <c r="R20" s="155" t="str">
        <f t="shared" si="3"/>
        <v>Iliac crest sf</v>
      </c>
      <c r="S20" s="165"/>
      <c r="T20" s="165"/>
      <c r="U20" s="180">
        <f t="shared" si="4"/>
        <v>20</v>
      </c>
      <c r="V20" s="143" t="s">
        <v>28</v>
      </c>
      <c r="W20" s="32">
        <f>1/6.8*(+U20*((170.18/U$14)^1)-22.4)</f>
        <v>-0.51339869281045736</v>
      </c>
      <c r="X20" s="181"/>
      <c r="Y20" s="143"/>
      <c r="Z20" s="145"/>
      <c r="AA20" s="145"/>
    </row>
    <row r="21" spans="1:27" ht="18" customHeight="1">
      <c r="B21" s="161" t="str">
        <f>IF(Info!D34,"Supraspinale sf","PL Supraespinal")</f>
        <v>Supraspinale sf</v>
      </c>
      <c r="C21" s="116"/>
      <c r="D21" s="116"/>
      <c r="E21" s="122"/>
      <c r="F21" s="110"/>
      <c r="G21" s="85"/>
      <c r="H21" s="85">
        <v>6</v>
      </c>
      <c r="I21" s="85"/>
      <c r="J21" s="134"/>
      <c r="K21" s="162">
        <f t="shared" si="5"/>
        <v>1</v>
      </c>
      <c r="L21" s="163" t="str">
        <f t="shared" si="6"/>
        <v>Yes</v>
      </c>
      <c r="M21" s="134"/>
      <c r="N21" s="164">
        <f t="shared" si="2"/>
        <v>6</v>
      </c>
      <c r="O21" s="154"/>
      <c r="P21" s="154"/>
      <c r="Q21" s="155"/>
      <c r="R21" s="155" t="str">
        <f t="shared" si="3"/>
        <v>Supraspinale sf</v>
      </c>
      <c r="S21" s="165"/>
      <c r="T21" s="165"/>
      <c r="U21" s="180">
        <f t="shared" si="4"/>
        <v>6</v>
      </c>
      <c r="V21" s="143" t="s">
        <v>27</v>
      </c>
      <c r="W21" s="32">
        <f>1/4.47*(+U21*((170.18/U$14)^1)-15.4)</f>
        <v>-2.1761372110365405</v>
      </c>
      <c r="X21" s="181"/>
      <c r="Y21" s="143"/>
      <c r="Z21" s="145"/>
      <c r="AA21" s="145"/>
    </row>
    <row r="22" spans="1:27" ht="18" customHeight="1">
      <c r="B22" s="161" t="str">
        <f>IF(Info!D34,"Abdominal sf","PL Abdominal")</f>
        <v>Abdominal sf</v>
      </c>
      <c r="C22" s="116"/>
      <c r="D22" s="116"/>
      <c r="E22" s="122"/>
      <c r="F22" s="110"/>
      <c r="G22" s="85"/>
      <c r="H22" s="85">
        <v>14</v>
      </c>
      <c r="I22" s="85"/>
      <c r="J22" s="134"/>
      <c r="K22" s="162">
        <f t="shared" si="5"/>
        <v>1</v>
      </c>
      <c r="L22" s="163" t="str">
        <f t="shared" si="6"/>
        <v>Yes</v>
      </c>
      <c r="M22" s="134"/>
      <c r="N22" s="164">
        <f t="shared" si="2"/>
        <v>14</v>
      </c>
      <c r="O22" s="154"/>
      <c r="P22" s="154"/>
      <c r="Q22" s="155"/>
      <c r="R22" s="155" t="str">
        <f t="shared" si="3"/>
        <v>Abdominal sf</v>
      </c>
      <c r="S22" s="165"/>
      <c r="T22" s="165"/>
      <c r="U22" s="180">
        <f t="shared" si="4"/>
        <v>14</v>
      </c>
      <c r="V22" s="143" t="s">
        <v>27</v>
      </c>
      <c r="W22" s="32">
        <f>1/7.78*(+U22*((170.18/U$14)^1)-25.4)</f>
        <v>-1.5634675806912306</v>
      </c>
      <c r="X22" s="181"/>
      <c r="Y22" s="143"/>
      <c r="Z22" s="145"/>
      <c r="AA22" s="145"/>
    </row>
    <row r="23" spans="1:27" ht="18" customHeight="1">
      <c r="B23" s="161" t="str">
        <f>IF(Info!D34,"Thigh sf","PL Muslo")</f>
        <v>Thigh sf</v>
      </c>
      <c r="C23" s="116"/>
      <c r="D23" s="116"/>
      <c r="E23" s="122"/>
      <c r="F23" s="110"/>
      <c r="G23" s="85"/>
      <c r="H23" s="85">
        <v>13.5</v>
      </c>
      <c r="I23" s="85"/>
      <c r="J23" s="134"/>
      <c r="K23" s="182">
        <f t="shared" si="5"/>
        <v>1</v>
      </c>
      <c r="L23" s="163" t="str">
        <f t="shared" si="6"/>
        <v>Yes</v>
      </c>
      <c r="M23" s="134"/>
      <c r="N23" s="164">
        <f t="shared" si="2"/>
        <v>13.5</v>
      </c>
      <c r="O23" s="154"/>
      <c r="P23" s="154"/>
      <c r="Q23" s="155"/>
      <c r="R23" s="155" t="str">
        <f t="shared" si="3"/>
        <v>Thigh sf</v>
      </c>
      <c r="S23" s="165"/>
      <c r="T23" s="165"/>
      <c r="U23" s="180">
        <f t="shared" si="4"/>
        <v>13.5</v>
      </c>
      <c r="V23" s="143" t="s">
        <v>27</v>
      </c>
      <c r="W23" s="32">
        <f>1/8.33*(+U23*((170.18/U$14)^1)-27)</f>
        <v>-1.7090636254501799</v>
      </c>
      <c r="X23" s="181"/>
      <c r="Y23" s="143"/>
      <c r="Z23" s="145"/>
      <c r="AA23" s="145"/>
    </row>
    <row r="24" spans="1:27" ht="18" customHeight="1" thickBot="1">
      <c r="B24" s="183" t="str">
        <f>IF(Info!D34,"Calf sf","PL Pierna")</f>
        <v>Calf sf</v>
      </c>
      <c r="C24" s="184"/>
      <c r="D24" s="184"/>
      <c r="E24" s="185"/>
      <c r="F24" s="186"/>
      <c r="G24" s="86"/>
      <c r="H24" s="86">
        <v>12</v>
      </c>
      <c r="I24" s="86"/>
      <c r="J24" s="187"/>
      <c r="K24" s="182">
        <f t="shared" si="5"/>
        <v>1</v>
      </c>
      <c r="L24" s="188" t="str">
        <f t="shared" si="6"/>
        <v>Yes</v>
      </c>
      <c r="M24" s="187"/>
      <c r="N24" s="189">
        <f t="shared" si="2"/>
        <v>12</v>
      </c>
      <c r="O24" s="154"/>
      <c r="P24" s="154"/>
      <c r="Q24" s="155"/>
      <c r="R24" s="168" t="str">
        <f t="shared" si="3"/>
        <v>Calf sf</v>
      </c>
      <c r="S24" s="169"/>
      <c r="T24" s="169"/>
      <c r="U24" s="170">
        <f t="shared" si="4"/>
        <v>12</v>
      </c>
      <c r="V24" s="173" t="s">
        <v>27</v>
      </c>
      <c r="W24" s="33">
        <f>1/4.67*(+U24*((170.18/U$14)^1)-16)</f>
        <v>-0.99671663097787278</v>
      </c>
      <c r="X24" s="172"/>
      <c r="Y24" s="173"/>
      <c r="Z24" s="174"/>
      <c r="AA24" s="145"/>
    </row>
    <row r="25" spans="1:27" ht="18" customHeight="1">
      <c r="B25" s="161" t="str">
        <f>IF(Info!D34,"Arm girth relaxed","PR Brazo relajado")</f>
        <v>Arm girth relaxed</v>
      </c>
      <c r="C25" s="116"/>
      <c r="D25" s="116"/>
      <c r="E25" s="122"/>
      <c r="F25" s="110"/>
      <c r="G25" s="85"/>
      <c r="H25" s="85">
        <v>39.5</v>
      </c>
      <c r="I25" s="85"/>
      <c r="J25" s="134"/>
      <c r="K25" s="151">
        <f t="shared" si="5"/>
        <v>1</v>
      </c>
      <c r="L25" s="163" t="str">
        <f>IF(ABS(K25)&gt;1%,"Yes","No")</f>
        <v>Yes</v>
      </c>
      <c r="M25" s="134"/>
      <c r="N25" s="164">
        <f t="shared" si="2"/>
        <v>39.5</v>
      </c>
      <c r="O25" s="154"/>
      <c r="P25" s="154"/>
      <c r="Q25" s="155"/>
      <c r="R25" s="155" t="str">
        <f t="shared" si="3"/>
        <v>Arm girth relaxed</v>
      </c>
      <c r="S25" s="165"/>
      <c r="T25" s="165"/>
      <c r="U25" s="180">
        <f t="shared" si="4"/>
        <v>39.5</v>
      </c>
      <c r="V25" s="143" t="s">
        <v>26</v>
      </c>
      <c r="W25" s="32">
        <f>1/2.33*(+U25*((170.18/U$14)^1)-26.89)</f>
        <v>4.4871483071053913</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36.986725877128166</v>
      </c>
      <c r="V26" s="143" t="s">
        <v>26</v>
      </c>
      <c r="W26" s="32">
        <f>1/1.91*(+U26*((170.18/U$14)^1)-22.05)</f>
        <v>6.7638191092776934</v>
      </c>
      <c r="X26" s="181"/>
      <c r="Y26" s="143"/>
      <c r="Z26" s="145"/>
      <c r="AA26" s="145"/>
    </row>
    <row r="27" spans="1:27" ht="18" customHeight="1">
      <c r="B27" s="199" t="str">
        <f>IF(Info!D34,"Arm girth flexed and tensed","PR Brazo flexionado y contraído")</f>
        <v>Arm girth flexed and tensed</v>
      </c>
      <c r="C27" s="116"/>
      <c r="D27" s="116"/>
      <c r="E27" s="122"/>
      <c r="F27" s="110"/>
      <c r="G27" s="85"/>
      <c r="H27" s="85">
        <v>42.5</v>
      </c>
      <c r="I27" s="85"/>
      <c r="J27" s="134"/>
      <c r="K27" s="182">
        <f t="shared" si="5"/>
        <v>1</v>
      </c>
      <c r="L27" s="163" t="str">
        <f>IF(ABS(K27)&gt;1%,"Yes","No")</f>
        <v>Yes</v>
      </c>
      <c r="M27" s="134"/>
      <c r="N27" s="164">
        <f>IF(I27=0,AVERAGE(G27,H27),MEDIAN(G27,H27,I27))</f>
        <v>42.5</v>
      </c>
      <c r="O27" s="154"/>
      <c r="P27" s="154"/>
      <c r="Q27" s="155"/>
      <c r="R27" s="155" t="str">
        <f t="shared" si="3"/>
        <v>Arm girth flexed and tensed</v>
      </c>
      <c r="S27" s="165"/>
      <c r="T27" s="165"/>
      <c r="U27" s="180">
        <f>+N27</f>
        <v>42.5</v>
      </c>
      <c r="V27" s="143" t="s">
        <v>26</v>
      </c>
      <c r="W27" s="32">
        <f>1/2.37*(+U27*((170.18/U$14)^1)-29.41)</f>
        <v>4.5448898265353961</v>
      </c>
      <c r="X27" s="181"/>
      <c r="Y27" s="143"/>
      <c r="Z27" s="145"/>
      <c r="AA27" s="145"/>
    </row>
    <row r="28" spans="1:27" ht="18" customHeight="1">
      <c r="B28" s="200" t="str">
        <f>IF(Info!D34,"Waist girth","PR Cintura")</f>
        <v>Waist girth</v>
      </c>
      <c r="C28" s="116"/>
      <c r="D28" s="116"/>
      <c r="E28" s="122"/>
      <c r="F28" s="110"/>
      <c r="G28" s="85"/>
      <c r="H28" s="85">
        <v>81</v>
      </c>
      <c r="I28" s="85"/>
      <c r="J28" s="134"/>
      <c r="K28" s="182">
        <f t="shared" si="5"/>
        <v>1</v>
      </c>
      <c r="L28" s="163" t="str">
        <f>IF(ABS(K28)&gt;1%,"Yes","No")</f>
        <v>Yes</v>
      </c>
      <c r="M28" s="134"/>
      <c r="N28" s="164">
        <f>IF(I28=0,AVERAGE(G28,H28),MEDIAN(G28,H28,I28))</f>
        <v>81</v>
      </c>
      <c r="O28" s="154"/>
      <c r="P28" s="154"/>
      <c r="Q28" s="155"/>
      <c r="R28" s="155" t="str">
        <f t="shared" si="3"/>
        <v>Waist girth</v>
      </c>
      <c r="S28" s="165"/>
      <c r="T28" s="165"/>
      <c r="U28" s="180">
        <f>+N28</f>
        <v>81</v>
      </c>
      <c r="V28" s="143" t="s">
        <v>26</v>
      </c>
      <c r="W28" s="32">
        <f>1/4.45*(+U28*((170.18/U$14)^1)-71.91)</f>
        <v>1.049662921348316</v>
      </c>
      <c r="X28" s="181"/>
      <c r="Y28" s="143"/>
      <c r="Z28" s="145"/>
      <c r="AA28" s="145"/>
    </row>
    <row r="29" spans="1:27" ht="18" customHeight="1">
      <c r="B29" s="200" t="str">
        <f>IF(Info!D34,"Hips girth","PR Caderas")</f>
        <v>Hips girth</v>
      </c>
      <c r="C29" s="116"/>
      <c r="D29" s="116"/>
      <c r="E29" s="122"/>
      <c r="F29" s="110"/>
      <c r="G29" s="85"/>
      <c r="H29" s="85">
        <v>100.5</v>
      </c>
      <c r="I29" s="85"/>
      <c r="J29" s="134"/>
      <c r="K29" s="182">
        <f t="shared" si="5"/>
        <v>1</v>
      </c>
      <c r="L29" s="163" t="str">
        <f>IF(ABS(K29)&gt;1%,"Yes","No")</f>
        <v>Yes</v>
      </c>
      <c r="M29" s="134"/>
      <c r="N29" s="164">
        <f>IF(I29=0,AVERAGE(G29,H29),MEDIAN(G29,H29,I29))</f>
        <v>100.5</v>
      </c>
      <c r="O29" s="154"/>
      <c r="P29" s="154"/>
      <c r="Q29" s="155"/>
      <c r="R29" s="155" t="str">
        <f t="shared" si="3"/>
        <v>Hips girth</v>
      </c>
      <c r="S29" s="165"/>
      <c r="T29" s="165"/>
      <c r="U29" s="180">
        <f>+N29</f>
        <v>100.5</v>
      </c>
      <c r="V29" s="143" t="s">
        <v>26</v>
      </c>
      <c r="W29" s="32">
        <f>1/5.58*(+U29*((170.18/U$14)^1)-94.67)</f>
        <v>6.2216248506573583E-2</v>
      </c>
      <c r="X29" s="181"/>
      <c r="Y29" s="143"/>
      <c r="Z29" s="145"/>
      <c r="AA29" s="145"/>
    </row>
    <row r="30" spans="1:27" ht="18" customHeight="1">
      <c r="B30" s="200" t="str">
        <f>IF(Info!D34,"Thigh middle girth","PR Muslo medio")</f>
        <v>Thigh middle girth</v>
      </c>
      <c r="C30" s="116"/>
      <c r="D30" s="116"/>
      <c r="E30" s="122"/>
      <c r="F30" s="110"/>
      <c r="G30" s="85"/>
      <c r="H30" s="85">
        <v>59</v>
      </c>
      <c r="I30" s="85"/>
      <c r="J30" s="134"/>
      <c r="K30" s="182">
        <f>+(H30-G30)/(AVERAGE(G30:H30))</f>
        <v>1</v>
      </c>
      <c r="L30" s="163" t="str">
        <f>IF(ABS(K30)&gt;1%,"Yes","No")</f>
        <v>Yes</v>
      </c>
      <c r="M30" s="134"/>
      <c r="N30" s="164">
        <f>IF(I30=0,AVERAGE(G30,H30),MEDIAN(G30,H30,I30))</f>
        <v>59</v>
      </c>
      <c r="O30" s="154"/>
      <c r="P30" s="154"/>
      <c r="Q30" s="155"/>
      <c r="R30" s="155" t="str">
        <f t="shared" si="3"/>
        <v>Thigh middle girth</v>
      </c>
      <c r="S30" s="165"/>
      <c r="T30" s="165"/>
      <c r="U30" s="180">
        <f>+N30</f>
        <v>59</v>
      </c>
      <c r="V30" s="143" t="s">
        <v>26</v>
      </c>
      <c r="W30" s="32">
        <f>1/4.56*(+U30*((170.18/U$14)^1)-53.2)</f>
        <v>0.56605750487329465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54.758849917653777</v>
      </c>
      <c r="V31" s="143" t="s">
        <v>26</v>
      </c>
      <c r="W31" s="32">
        <f>1/3.59*(+U31*((170.18/U$14)^1)-47.34)</f>
        <v>1.2343873088615287</v>
      </c>
      <c r="X31" s="181"/>
      <c r="Y31" s="143"/>
      <c r="Z31" s="145"/>
      <c r="AA31" s="145"/>
    </row>
    <row r="32" spans="1:27" ht="18" customHeight="1">
      <c r="B32" s="161" t="str">
        <f>IF(Info!D34,"Calf girth","PR Pierna")</f>
        <v>Calf girth</v>
      </c>
      <c r="C32" s="116"/>
      <c r="D32" s="116"/>
      <c r="E32" s="122"/>
      <c r="F32" s="110"/>
      <c r="G32" s="85"/>
      <c r="H32" s="85">
        <v>29.5</v>
      </c>
      <c r="I32" s="85"/>
      <c r="J32" s="134"/>
      <c r="K32" s="182">
        <f t="shared" si="5"/>
        <v>1</v>
      </c>
      <c r="L32" s="163" t="str">
        <f>IF(ABS(K32)&gt;1%,"Yes","No")</f>
        <v>Yes</v>
      </c>
      <c r="M32" s="134"/>
      <c r="N32" s="164">
        <f>IF(I32=0,AVERAGE(G32,H32),MEDIAN(G32,H32,I32))</f>
        <v>29.5</v>
      </c>
      <c r="O32" s="154"/>
      <c r="P32" s="154"/>
      <c r="Q32" s="155"/>
      <c r="R32" s="155" t="str">
        <f t="shared" si="3"/>
        <v>Calf girth</v>
      </c>
      <c r="S32" s="165"/>
      <c r="T32" s="165"/>
      <c r="U32" s="201">
        <f>+N32</f>
        <v>29.5</v>
      </c>
      <c r="V32" s="143" t="s">
        <v>26</v>
      </c>
      <c r="W32" s="32">
        <f>1/2.3*(+U32*((170.18/U$14)^1)-35.25)</f>
        <v>-3.1997342995169076</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25.730088815692248</v>
      </c>
      <c r="V33" s="173" t="s">
        <v>26</v>
      </c>
      <c r="W33" s="33">
        <f>1/1.97*(+U33*((170.18/U$14)^1)-30.22)</f>
        <v>-2.9916905960109781</v>
      </c>
      <c r="X33" s="172"/>
      <c r="Y33" s="173"/>
      <c r="Z33" s="174"/>
      <c r="AA33" s="145"/>
    </row>
    <row r="34" spans="1:27" ht="18" customHeight="1" thickBot="1">
      <c r="B34" s="161" t="str">
        <f>IF(Info!D34,"Humerus breadth","D Húmero")</f>
        <v>Humerus breadth</v>
      </c>
      <c r="C34" s="116"/>
      <c r="D34" s="116"/>
      <c r="E34" s="122"/>
      <c r="F34" s="110"/>
      <c r="G34" s="87"/>
      <c r="H34" s="87">
        <v>7.5</v>
      </c>
      <c r="I34" s="87"/>
      <c r="J34" s="134"/>
      <c r="K34" s="151">
        <f t="shared" si="5"/>
        <v>1</v>
      </c>
      <c r="L34" s="209" t="str">
        <f>IF(ABS(K34)&gt;1%,"Yes","No")</f>
        <v>Yes</v>
      </c>
      <c r="M34" s="134"/>
      <c r="N34" s="210">
        <f>IF(I34=0,AVERAGE(G34,H34),MEDIAN(G34,H34,I34))</f>
        <v>7.5</v>
      </c>
      <c r="O34" s="154"/>
      <c r="P34" s="154"/>
      <c r="Q34" s="155"/>
      <c r="R34" s="155" t="str">
        <f t="shared" si="3"/>
        <v>Humerus breadth</v>
      </c>
      <c r="S34" s="165"/>
      <c r="T34" s="165"/>
      <c r="U34" s="180">
        <f>+N34</f>
        <v>7.5</v>
      </c>
      <c r="V34" s="143" t="s">
        <v>26</v>
      </c>
      <c r="W34" s="32">
        <f>1/0.35*(+U34*((170.18/U$14)^1)-6.48)</f>
        <v>1.7452380952380966</v>
      </c>
      <c r="X34" s="181"/>
      <c r="Y34" s="143"/>
      <c r="Z34" s="145"/>
      <c r="AA34" s="145"/>
    </row>
    <row r="35" spans="1:27" ht="18" customHeight="1">
      <c r="B35" s="161" t="str">
        <f>IF(Info!D34,"Bi-styloid breadth","D Biestiloideo")</f>
        <v>Bi-styloid breadth</v>
      </c>
      <c r="C35" s="116"/>
      <c r="D35" s="116"/>
      <c r="E35" s="122"/>
      <c r="F35" s="110"/>
      <c r="G35" s="91"/>
      <c r="H35" s="91">
        <v>5.6</v>
      </c>
      <c r="I35" s="91"/>
      <c r="J35" s="134"/>
      <c r="K35" s="151">
        <f>+(H35-G35)/(AVERAGE(G35:H35))</f>
        <v>1</v>
      </c>
      <c r="L35" s="209" t="str">
        <f>IF(ABS(K35)&gt;1%,"Yes","No")</f>
        <v>Yes</v>
      </c>
      <c r="M35" s="134"/>
      <c r="N35" s="210">
        <f>IF(I35=0,AVERAGE(G35,H35),MEDIAN(G35,H35,I35))</f>
        <v>5.6</v>
      </c>
      <c r="O35" s="154"/>
      <c r="P35" s="154"/>
      <c r="Q35" s="155"/>
      <c r="R35" s="155" t="str">
        <f t="shared" si="3"/>
        <v>Bi-styloid breadth</v>
      </c>
      <c r="S35" s="165"/>
      <c r="T35" s="165"/>
      <c r="U35" s="180">
        <f>+N35</f>
        <v>5.6</v>
      </c>
      <c r="V35" s="143" t="s">
        <v>26</v>
      </c>
      <c r="W35" s="32">
        <f>1/0.28*(+U35*((170.18/U$14)^1)-5.21)</f>
        <v>0.30174603174603232</v>
      </c>
      <c r="X35" s="181"/>
      <c r="Y35" s="143"/>
      <c r="Z35" s="145"/>
      <c r="AA35" s="145"/>
    </row>
    <row r="36" spans="1:27" ht="18" customHeight="1" thickBot="1">
      <c r="B36" s="183" t="str">
        <f>IF(Info!D34,"Femur breadth","D Fémur")</f>
        <v>Femur breadth</v>
      </c>
      <c r="C36" s="184"/>
      <c r="D36" s="184"/>
      <c r="E36" s="185"/>
      <c r="F36" s="186"/>
      <c r="G36" s="86"/>
      <c r="H36" s="86">
        <v>9.8000000000000007</v>
      </c>
      <c r="I36" s="86"/>
      <c r="J36" s="187"/>
      <c r="K36" s="182">
        <f>+(H36-G36)/(AVERAGE(G36:H36))</f>
        <v>1</v>
      </c>
      <c r="L36" s="188" t="str">
        <f>IF(ABS(K36)&gt;1%,"Yes","No")</f>
        <v>Yes</v>
      </c>
      <c r="M36" s="187"/>
      <c r="N36" s="189">
        <f>IF(I36=0,AVERAGE(G36,H36),MEDIAN(G36,H36,I36))</f>
        <v>9.8000000000000007</v>
      </c>
      <c r="O36" s="154"/>
      <c r="P36" s="154"/>
      <c r="Q36" s="155"/>
      <c r="R36" s="211" t="str">
        <f t="shared" si="3"/>
        <v>Femur breadth</v>
      </c>
      <c r="S36" s="212"/>
      <c r="T36" s="212"/>
      <c r="U36" s="213">
        <f>+N36</f>
        <v>9.8000000000000007</v>
      </c>
      <c r="V36" s="214" t="s">
        <v>26</v>
      </c>
      <c r="W36" s="215">
        <f>1/0.48*(+U36*((170.18/U$14)^1)-9.52)</f>
        <v>-0.53050925925925607</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1</v>
      </c>
      <c r="F40" s="223">
        <f>IF(H13=I13,1,0)</f>
        <v>0</v>
      </c>
      <c r="G40" s="223">
        <f>IF(I13="",0,1)</f>
        <v>0</v>
      </c>
      <c r="H40" s="222">
        <f>IF(L13="Yes",1,0)</f>
        <v>1</v>
      </c>
      <c r="I40" s="224">
        <f>COUNTIF(G13,"")</f>
        <v>1</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2.129885818011251</v>
      </c>
      <c r="V40" s="124"/>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1</v>
      </c>
      <c r="F41" s="223">
        <f t="shared" ref="F41:F62" si="10">IF(H14=I14,1,0)</f>
        <v>0</v>
      </c>
      <c r="G41" s="223">
        <f t="shared" ref="G41:G62" si="11">IF(I14="",0,1)</f>
        <v>0</v>
      </c>
      <c r="H41" s="222">
        <f t="shared" ref="H41:H62" si="12">IF(L14="Yes",1,0)</f>
        <v>1</v>
      </c>
      <c r="I41" s="224">
        <f t="shared" ref="I41:J56" si="13">COUNTIF(G14,"")</f>
        <v>1</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5.6406999999999989</v>
      </c>
      <c r="V41" s="126"/>
      <c r="W41" s="228"/>
      <c r="X41" s="34"/>
      <c r="Y41" s="126"/>
      <c r="Z41" s="115"/>
      <c r="AA41" s="115"/>
    </row>
    <row r="42" spans="1:27" s="109" customFormat="1">
      <c r="B42" s="223" t="str">
        <f t="shared" si="7"/>
        <v>Sitting height</v>
      </c>
      <c r="C42" s="224"/>
      <c r="D42" s="223">
        <f t="shared" si="8"/>
        <v>0</v>
      </c>
      <c r="E42" s="223">
        <f t="shared" si="9"/>
        <v>1</v>
      </c>
      <c r="F42" s="223">
        <f t="shared" si="10"/>
        <v>0</v>
      </c>
      <c r="G42" s="223">
        <f t="shared" si="11"/>
        <v>0</v>
      </c>
      <c r="H42" s="222">
        <f t="shared" si="12"/>
        <v>1</v>
      </c>
      <c r="I42" s="224">
        <f t="shared" si="13"/>
        <v>1</v>
      </c>
      <c r="J42" s="224">
        <f t="shared" si="13"/>
        <v>0</v>
      </c>
      <c r="K42" s="224"/>
      <c r="L42" s="225"/>
      <c r="M42" s="225"/>
      <c r="N42" s="224"/>
      <c r="O42" s="104"/>
      <c r="P42" s="104"/>
      <c r="Q42" s="113"/>
      <c r="R42" s="113"/>
      <c r="S42" s="124"/>
      <c r="T42" s="227" t="str">
        <f>IF(Info!D34,"Ectomorphy","Ectomorfia")</f>
        <v>Ectomorphy</v>
      </c>
      <c r="U42" s="201">
        <f>IF(V42&gt;40.75,((0.732*V42)-28.58),IF(V42&gt;38.28,((0.463*V42)-17.63),0.1))</f>
        <v>1.3870466732739608</v>
      </c>
      <c r="V42" s="224">
        <f>U14/(U13^(1/3))</f>
        <v>40.93858835146716</v>
      </c>
      <c r="W42" s="228"/>
      <c r="X42" s="34"/>
      <c r="Y42" s="126"/>
      <c r="Z42" s="115"/>
      <c r="AA42" s="115"/>
    </row>
    <row r="43" spans="1:27" s="109" customFormat="1">
      <c r="B43" s="223" t="str">
        <f t="shared" si="7"/>
        <v>Arm Span</v>
      </c>
      <c r="C43" s="224"/>
      <c r="D43" s="223">
        <f t="shared" si="8"/>
        <v>0</v>
      </c>
      <c r="E43" s="223">
        <f t="shared" si="9"/>
        <v>1</v>
      </c>
      <c r="F43" s="223">
        <f t="shared" si="10"/>
        <v>0</v>
      </c>
      <c r="G43" s="223">
        <f t="shared" si="11"/>
        <v>0</v>
      </c>
      <c r="H43" s="222">
        <f t="shared" si="12"/>
        <v>1</v>
      </c>
      <c r="I43" s="224">
        <f t="shared" si="13"/>
        <v>1</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1</v>
      </c>
      <c r="F44" s="223">
        <f t="shared" si="10"/>
        <v>0</v>
      </c>
      <c r="G44" s="223">
        <f t="shared" si="11"/>
        <v>0</v>
      </c>
      <c r="H44" s="222">
        <f t="shared" si="12"/>
        <v>1</v>
      </c>
      <c r="I44" s="224">
        <f t="shared" si="13"/>
        <v>1</v>
      </c>
      <c r="J44" s="224">
        <f t="shared" si="13"/>
        <v>0</v>
      </c>
      <c r="K44" s="224"/>
      <c r="L44" s="225"/>
      <c r="M44" s="225"/>
      <c r="N44" s="224"/>
      <c r="Q44" s="113"/>
      <c r="R44" s="113"/>
      <c r="S44" s="226" t="str">
        <f>'3'!S44</f>
        <v>Body Mass Index (MBI)</v>
      </c>
      <c r="T44" s="229"/>
      <c r="U44" s="201">
        <f>+U13/(U14/100)^2</f>
        <v>26.234567901234566</v>
      </c>
      <c r="V44" s="230" t="str">
        <f>'3'!V44</f>
        <v>kg/m2</v>
      </c>
      <c r="W44" s="227"/>
      <c r="X44" s="231"/>
      <c r="Y44" s="124"/>
      <c r="Z44" s="145"/>
      <c r="AA44" s="145"/>
    </row>
    <row r="45" spans="1:27">
      <c r="B45" s="223" t="str">
        <f t="shared" si="7"/>
        <v>Subscapular sf</v>
      </c>
      <c r="C45" s="222"/>
      <c r="D45" s="223">
        <f t="shared" si="8"/>
        <v>0</v>
      </c>
      <c r="E45" s="223">
        <f t="shared" si="9"/>
        <v>1</v>
      </c>
      <c r="F45" s="223">
        <f t="shared" si="10"/>
        <v>0</v>
      </c>
      <c r="G45" s="223">
        <f t="shared" si="11"/>
        <v>0</v>
      </c>
      <c r="H45" s="222">
        <f t="shared" si="12"/>
        <v>1</v>
      </c>
      <c r="I45" s="224">
        <f t="shared" si="13"/>
        <v>1</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1</v>
      </c>
      <c r="F46" s="223">
        <f t="shared" si="10"/>
        <v>0</v>
      </c>
      <c r="G46" s="223">
        <f t="shared" si="11"/>
        <v>0</v>
      </c>
      <c r="H46" s="222">
        <f t="shared" si="12"/>
        <v>1</v>
      </c>
      <c r="I46" s="224">
        <f t="shared" si="13"/>
        <v>1</v>
      </c>
      <c r="J46" s="224">
        <f t="shared" si="13"/>
        <v>0</v>
      </c>
      <c r="K46" s="224"/>
      <c r="L46" s="225"/>
      <c r="M46" s="225"/>
      <c r="N46" s="224"/>
      <c r="O46" s="104"/>
      <c r="P46" s="104"/>
      <c r="Q46" s="113"/>
      <c r="R46" s="113"/>
      <c r="S46" s="226" t="str">
        <f>'3'!S46</f>
        <v>Waist/Hip ratio</v>
      </c>
      <c r="T46" s="124"/>
      <c r="U46" s="232">
        <f>+U28/U29</f>
        <v>0.80597014925373134</v>
      </c>
      <c r="V46" s="126"/>
      <c r="W46" s="233"/>
      <c r="X46" s="201"/>
      <c r="Y46" s="126"/>
      <c r="Z46" s="115"/>
      <c r="AA46" s="115"/>
    </row>
    <row r="47" spans="1:27" s="109" customFormat="1">
      <c r="A47" s="234"/>
      <c r="B47" s="223" t="str">
        <f t="shared" si="7"/>
        <v>Iliac crest sf</v>
      </c>
      <c r="C47" s="222"/>
      <c r="D47" s="223">
        <f t="shared" si="8"/>
        <v>0</v>
      </c>
      <c r="E47" s="223">
        <f t="shared" si="9"/>
        <v>1</v>
      </c>
      <c r="F47" s="223">
        <f t="shared" si="10"/>
        <v>0</v>
      </c>
      <c r="G47" s="223">
        <f t="shared" si="11"/>
        <v>0</v>
      </c>
      <c r="H47" s="222">
        <f t="shared" si="12"/>
        <v>1</v>
      </c>
      <c r="I47" s="224">
        <f t="shared" si="13"/>
        <v>1</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1</v>
      </c>
      <c r="F48" s="223">
        <f t="shared" si="10"/>
        <v>0</v>
      </c>
      <c r="G48" s="223">
        <f t="shared" si="11"/>
        <v>0</v>
      </c>
      <c r="H48" s="222">
        <f t="shared" si="12"/>
        <v>1</v>
      </c>
      <c r="I48" s="224">
        <f t="shared" si="13"/>
        <v>1</v>
      </c>
      <c r="J48" s="224">
        <f t="shared" si="13"/>
        <v>0</v>
      </c>
      <c r="K48" s="224"/>
      <c r="L48" s="224"/>
      <c r="M48" s="224"/>
      <c r="N48" s="224"/>
      <c r="O48" s="104"/>
      <c r="P48" s="104"/>
      <c r="Q48" s="113"/>
      <c r="R48" s="113"/>
      <c r="S48" s="226" t="str">
        <f>'3'!S48</f>
        <v>Sum of 6 skinfolds</v>
      </c>
      <c r="T48" s="104"/>
      <c r="U48" s="235">
        <f>SUM(U17:U18,U21:U24)</f>
        <v>62.5</v>
      </c>
      <c r="V48" s="227" t="str">
        <f>'3'!V48</f>
        <v>mm</v>
      </c>
      <c r="W48" s="233"/>
      <c r="X48" s="201"/>
      <c r="Y48" s="126"/>
      <c r="Z48" s="115"/>
      <c r="AA48" s="115"/>
    </row>
    <row r="49" spans="1:27" s="109" customFormat="1">
      <c r="B49" s="223" t="str">
        <f t="shared" si="7"/>
        <v>Abdominal sf</v>
      </c>
      <c r="C49" s="222"/>
      <c r="D49" s="223">
        <f t="shared" si="8"/>
        <v>0</v>
      </c>
      <c r="E49" s="223">
        <f t="shared" si="9"/>
        <v>1</v>
      </c>
      <c r="F49" s="223">
        <f t="shared" si="10"/>
        <v>0</v>
      </c>
      <c r="G49" s="223">
        <f t="shared" si="11"/>
        <v>0</v>
      </c>
      <c r="H49" s="222">
        <f t="shared" si="12"/>
        <v>1</v>
      </c>
      <c r="I49" s="224">
        <f>COUNTIF(G22,"")</f>
        <v>1</v>
      </c>
      <c r="J49" s="224">
        <f t="shared" si="13"/>
        <v>0</v>
      </c>
      <c r="K49" s="224"/>
      <c r="L49" s="224"/>
      <c r="M49" s="224"/>
      <c r="N49" s="224"/>
      <c r="Q49" s="236"/>
      <c r="R49" s="236"/>
      <c r="S49" s="226" t="str">
        <f>'3'!S49</f>
        <v>Sum of 8 skinfolds</v>
      </c>
      <c r="T49" s="104"/>
      <c r="U49" s="235">
        <f>SUM(U17:U24)</f>
        <v>85.5</v>
      </c>
      <c r="V49" s="227" t="str">
        <f>'3'!V49</f>
        <v>mm</v>
      </c>
      <c r="W49" s="126"/>
      <c r="X49" s="232"/>
      <c r="Y49" s="126"/>
      <c r="Z49" s="115"/>
      <c r="AA49" s="115"/>
    </row>
    <row r="50" spans="1:27">
      <c r="A50" s="109"/>
      <c r="B50" s="223" t="str">
        <f t="shared" si="7"/>
        <v>Thigh sf</v>
      </c>
      <c r="C50" s="222"/>
      <c r="D50" s="223">
        <f t="shared" si="8"/>
        <v>0</v>
      </c>
      <c r="E50" s="223">
        <f t="shared" si="9"/>
        <v>1</v>
      </c>
      <c r="F50" s="223">
        <f t="shared" si="10"/>
        <v>0</v>
      </c>
      <c r="G50" s="223">
        <f t="shared" si="11"/>
        <v>0</v>
      </c>
      <c r="H50" s="222">
        <f t="shared" si="12"/>
        <v>1</v>
      </c>
      <c r="I50" s="224">
        <f t="shared" si="13"/>
        <v>1</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1</v>
      </c>
      <c r="F51" s="223">
        <f t="shared" si="10"/>
        <v>0</v>
      </c>
      <c r="G51" s="223">
        <f t="shared" si="11"/>
        <v>0</v>
      </c>
      <c r="H51" s="222">
        <f t="shared" si="12"/>
        <v>1</v>
      </c>
      <c r="I51" s="224">
        <f t="shared" si="13"/>
        <v>1</v>
      </c>
      <c r="J51" s="224">
        <f t="shared" si="13"/>
        <v>0</v>
      </c>
      <c r="K51" s="224"/>
      <c r="L51" s="224"/>
      <c r="M51" s="224"/>
      <c r="N51" s="224"/>
      <c r="Q51" s="113"/>
      <c r="R51" s="113"/>
      <c r="S51" s="226" t="str">
        <f>'3'!S51</f>
        <v>Fat percentage</v>
      </c>
      <c r="T51" s="238"/>
      <c r="U51" s="35">
        <f>IF(U8=1,0.735*(U17+U24)+1,0.61*(U17+U24)+5.1)</f>
        <v>17.299999999999997</v>
      </c>
      <c r="V51" s="227" t="str">
        <f>'3'!V51</f>
        <v>(Slaughter)</v>
      </c>
      <c r="X51" s="229"/>
      <c r="Y51" s="124"/>
      <c r="Z51" s="145"/>
      <c r="AA51" s="145"/>
    </row>
    <row r="52" spans="1:27">
      <c r="B52" s="223" t="str">
        <f t="shared" si="7"/>
        <v>Arm girth relaxed</v>
      </c>
      <c r="C52" s="222"/>
      <c r="D52" s="223">
        <f t="shared" si="8"/>
        <v>0</v>
      </c>
      <c r="E52" s="223">
        <f t="shared" si="9"/>
        <v>1</v>
      </c>
      <c r="F52" s="223">
        <f t="shared" si="10"/>
        <v>0</v>
      </c>
      <c r="G52" s="223">
        <f t="shared" si="11"/>
        <v>0</v>
      </c>
      <c r="H52" s="222">
        <f t="shared" si="12"/>
        <v>1</v>
      </c>
      <c r="I52" s="224">
        <f t="shared" si="13"/>
        <v>1</v>
      </c>
      <c r="J52" s="224">
        <f t="shared" si="13"/>
        <v>0</v>
      </c>
      <c r="K52" s="224"/>
      <c r="L52" s="224"/>
      <c r="M52" s="224"/>
      <c r="N52" s="224"/>
      <c r="Q52" s="113"/>
      <c r="R52" s="113"/>
      <c r="U52" s="35">
        <f>IF(U8=1,0.153*(U17+U18+U21+U22)+5.783,0.213*(U17+U18+U21+U22)+7.9)</f>
        <v>15.781000000000001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13.254999999999999</v>
      </c>
      <c r="V53" s="227" t="str">
        <f>'3'!V53</f>
        <v>(Carter, from Yuhasz)</v>
      </c>
      <c r="X53" s="229"/>
      <c r="Y53" s="227"/>
      <c r="Z53" s="145"/>
      <c r="AA53" s="145"/>
    </row>
    <row r="54" spans="1:27">
      <c r="B54" s="223" t="str">
        <f t="shared" si="7"/>
        <v>Arm girth flexed and tensed</v>
      </c>
      <c r="C54" s="222"/>
      <c r="D54" s="223">
        <f t="shared" si="8"/>
        <v>0</v>
      </c>
      <c r="E54" s="223">
        <f t="shared" si="9"/>
        <v>1</v>
      </c>
      <c r="F54" s="223">
        <f t="shared" si="10"/>
        <v>0</v>
      </c>
      <c r="G54" s="223">
        <f t="shared" si="11"/>
        <v>0</v>
      </c>
      <c r="H54" s="222">
        <f t="shared" si="12"/>
        <v>1</v>
      </c>
      <c r="I54" s="224">
        <f t="shared" si="13"/>
        <v>1</v>
      </c>
      <c r="J54" s="224">
        <f t="shared" si="13"/>
        <v>0</v>
      </c>
      <c r="K54" s="224"/>
      <c r="L54" s="224"/>
      <c r="M54" s="224"/>
      <c r="N54" s="224"/>
      <c r="Q54" s="113"/>
      <c r="R54" s="113"/>
      <c r="S54" s="226" t="str">
        <f>'3'!S54</f>
        <v>Muscle percentage</v>
      </c>
      <c r="U54" s="35">
        <f>(U14/100*(0.00744*U26^2+0.00088*U31^2+0.00441*U33^2)+(2.4*(IF(U8=1,1,0)))-0.048*((U10-U11)/365.25)+IF(U7="1",-2,IF(U7="2",1.1,0))+7.8)*100/U13</f>
        <v>40.891028095935155</v>
      </c>
      <c r="V54" s="239" t="str">
        <f>'3'!V54</f>
        <v>(Lee)</v>
      </c>
      <c r="X54" s="235"/>
      <c r="Y54" s="227"/>
      <c r="Z54" s="145"/>
      <c r="AA54" s="145"/>
    </row>
    <row r="55" spans="1:27">
      <c r="B55" s="223" t="str">
        <f t="shared" si="7"/>
        <v>Waist girth</v>
      </c>
      <c r="C55" s="222"/>
      <c r="D55" s="223">
        <f t="shared" si="8"/>
        <v>0</v>
      </c>
      <c r="E55" s="223">
        <f t="shared" si="9"/>
        <v>1</v>
      </c>
      <c r="F55" s="223">
        <f t="shared" si="10"/>
        <v>0</v>
      </c>
      <c r="G55" s="223">
        <f t="shared" si="11"/>
        <v>0</v>
      </c>
      <c r="H55" s="222">
        <f t="shared" si="12"/>
        <v>1</v>
      </c>
      <c r="I55" s="224">
        <f t="shared" si="13"/>
        <v>1</v>
      </c>
      <c r="J55" s="224">
        <f t="shared" si="13"/>
        <v>0</v>
      </c>
      <c r="K55" s="224"/>
      <c r="L55" s="224">
        <f>COUNTIF(L13:L36,"yes")</f>
        <v>21</v>
      </c>
      <c r="M55" s="224"/>
      <c r="N55" s="224"/>
      <c r="Q55" s="113"/>
      <c r="R55" s="113"/>
      <c r="U55" s="35">
        <f>(U14/100*((0.0064*(U26^2))+(0.0032*(U31^2))+(0.0015*(U33^2)))+(2.56*IF(U8=1,1,0))+(0.136*(U10-U11)/365.25))*100/U13</f>
        <v>45.523234326374464</v>
      </c>
      <c r="V55" s="239" t="str">
        <f>'3'!V55</f>
        <v>(Poortmans)</v>
      </c>
      <c r="X55" s="240"/>
      <c r="Y55" s="227"/>
      <c r="Z55" s="145"/>
      <c r="AA55" s="145"/>
    </row>
    <row r="56" spans="1:27">
      <c r="B56" s="223" t="str">
        <f t="shared" si="7"/>
        <v>Hips girth</v>
      </c>
      <c r="C56" s="222"/>
      <c r="D56" s="223">
        <f t="shared" si="8"/>
        <v>0</v>
      </c>
      <c r="E56" s="223">
        <f t="shared" si="9"/>
        <v>1</v>
      </c>
      <c r="F56" s="223">
        <f t="shared" si="10"/>
        <v>0</v>
      </c>
      <c r="G56" s="223">
        <f t="shared" si="11"/>
        <v>0</v>
      </c>
      <c r="H56" s="222">
        <f t="shared" si="12"/>
        <v>1</v>
      </c>
      <c r="I56" s="224">
        <f t="shared" si="13"/>
        <v>1</v>
      </c>
      <c r="J56" s="224">
        <f t="shared" si="13"/>
        <v>0</v>
      </c>
      <c r="K56" s="224"/>
      <c r="L56" s="224"/>
      <c r="M56" s="224"/>
      <c r="N56" s="224"/>
      <c r="Q56" s="113"/>
      <c r="R56" s="113"/>
      <c r="S56" s="226" t="str">
        <f>'3'!S56</f>
        <v>Bone percentage</v>
      </c>
      <c r="U56" s="35">
        <f>(3.02*(((U14/100)^2)*(U35/100)*(U36/100)*400)^0.712)*100/U13</f>
        <v>14.362353753403287</v>
      </c>
      <c r="V56" s="239" t="str">
        <f>'3'!V56</f>
        <v>(Rocha)</v>
      </c>
      <c r="W56" s="241"/>
      <c r="X56" s="233"/>
      <c r="Y56" s="227"/>
      <c r="Z56" s="145"/>
      <c r="AA56" s="145"/>
    </row>
    <row r="57" spans="1:27">
      <c r="B57" s="223" t="str">
        <f t="shared" si="7"/>
        <v>Thigh middle girth</v>
      </c>
      <c r="C57" s="222"/>
      <c r="D57" s="223">
        <f t="shared" si="8"/>
        <v>0</v>
      </c>
      <c r="E57" s="223">
        <f t="shared" si="9"/>
        <v>1</v>
      </c>
      <c r="F57" s="223">
        <f t="shared" si="10"/>
        <v>0</v>
      </c>
      <c r="G57" s="223">
        <f t="shared" si="11"/>
        <v>0</v>
      </c>
      <c r="H57" s="222">
        <f t="shared" si="12"/>
        <v>1</v>
      </c>
      <c r="I57" s="224">
        <f t="shared" ref="I57:J62" si="14">COUNTIF(G30,"")</f>
        <v>1</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1</v>
      </c>
      <c r="F59" s="223">
        <f t="shared" si="10"/>
        <v>0</v>
      </c>
      <c r="G59" s="223">
        <f t="shared" si="11"/>
        <v>0</v>
      </c>
      <c r="H59" s="222">
        <f t="shared" si="12"/>
        <v>1</v>
      </c>
      <c r="I59" s="224">
        <f t="shared" si="14"/>
        <v>1</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1</v>
      </c>
      <c r="F61" s="223">
        <f t="shared" si="10"/>
        <v>0</v>
      </c>
      <c r="G61" s="223">
        <f t="shared" si="11"/>
        <v>0</v>
      </c>
      <c r="H61" s="222">
        <f t="shared" si="12"/>
        <v>1</v>
      </c>
      <c r="I61" s="224">
        <f t="shared" si="14"/>
        <v>1</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1</v>
      </c>
      <c r="F62" s="223">
        <f t="shared" si="10"/>
        <v>0</v>
      </c>
      <c r="G62" s="223">
        <f t="shared" si="11"/>
        <v>0</v>
      </c>
      <c r="H62" s="222">
        <f t="shared" si="12"/>
        <v>1</v>
      </c>
      <c r="I62" s="224">
        <f t="shared" si="14"/>
        <v>1</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1</v>
      </c>
      <c r="F63" s="223">
        <f>IF(H36=I36,1,0)</f>
        <v>0</v>
      </c>
      <c r="G63" s="223">
        <f>IF(I36="",0,1)</f>
        <v>0</v>
      </c>
      <c r="H63" s="222">
        <f>IF(L36="Yes",1,0)</f>
        <v>1</v>
      </c>
      <c r="I63" s="224">
        <f>COUNTIF(G36,"")</f>
        <v>1</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0</v>
      </c>
      <c r="E64" s="223">
        <f t="shared" si="15"/>
        <v>21</v>
      </c>
      <c r="F64" s="223">
        <f t="shared" si="15"/>
        <v>0</v>
      </c>
      <c r="G64" s="223">
        <f t="shared" si="15"/>
        <v>0</v>
      </c>
      <c r="H64" s="223">
        <f t="shared" si="15"/>
        <v>21</v>
      </c>
      <c r="I64" s="224">
        <f t="shared" si="15"/>
        <v>21</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85</v>
      </c>
      <c r="I67" s="245">
        <f t="shared" si="16"/>
        <v>0</v>
      </c>
      <c r="J67" s="224">
        <f>ABS(G67-H67)</f>
        <v>85</v>
      </c>
      <c r="K67" s="224">
        <f>ABS(I67-G67)</f>
        <v>0</v>
      </c>
      <c r="L67" s="224">
        <f>ABS(H67-I67)</f>
        <v>85</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180</v>
      </c>
      <c r="I68" s="245">
        <f t="shared" si="16"/>
        <v>0</v>
      </c>
      <c r="J68" s="224">
        <f t="shared" ref="J68:J87" si="18">ABS(G68-H68)</f>
        <v>180</v>
      </c>
      <c r="K68" s="224">
        <f t="shared" ref="K68:K87" si="19">ABS(I68-G68)</f>
        <v>0</v>
      </c>
      <c r="L68" s="224">
        <f t="shared" ref="L68:L87" si="20">ABS(H68-I68)</f>
        <v>180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86</v>
      </c>
      <c r="I69" s="245">
        <f t="shared" si="16"/>
        <v>0</v>
      </c>
      <c r="J69" s="224">
        <f t="shared" si="18"/>
        <v>86</v>
      </c>
      <c r="K69" s="224">
        <f t="shared" si="19"/>
        <v>0</v>
      </c>
      <c r="L69" s="224">
        <f t="shared" si="20"/>
        <v>86</v>
      </c>
      <c r="M69" s="246">
        <f t="shared" si="21"/>
        <v>0</v>
      </c>
      <c r="N69" s="246">
        <f t="shared" si="22"/>
        <v>0</v>
      </c>
    </row>
    <row r="70" spans="1:22" s="247" customFormat="1">
      <c r="B70" s="269" t="str">
        <f t="shared" si="17"/>
        <v>Arm Span</v>
      </c>
      <c r="C70" s="269"/>
      <c r="D70" s="269"/>
      <c r="E70" s="269"/>
      <c r="F70" s="269"/>
      <c r="G70" s="245">
        <f t="shared" si="16"/>
        <v>0</v>
      </c>
      <c r="H70" s="245">
        <f t="shared" si="16"/>
        <v>184</v>
      </c>
      <c r="I70" s="245">
        <f t="shared" si="16"/>
        <v>0</v>
      </c>
      <c r="J70" s="224">
        <f t="shared" si="18"/>
        <v>184</v>
      </c>
      <c r="K70" s="224">
        <f t="shared" si="19"/>
        <v>0</v>
      </c>
      <c r="L70" s="224">
        <f t="shared" si="20"/>
        <v>184</v>
      </c>
      <c r="M70" s="246">
        <f t="shared" si="21"/>
        <v>0</v>
      </c>
      <c r="N70" s="246">
        <f t="shared" si="22"/>
        <v>0</v>
      </c>
    </row>
    <row r="71" spans="1:22" s="247" customFormat="1">
      <c r="B71" s="269" t="str">
        <f t="shared" si="17"/>
        <v>Triceps sf</v>
      </c>
      <c r="C71" s="269"/>
      <c r="D71" s="269"/>
      <c r="E71" s="269"/>
      <c r="F71" s="269"/>
      <c r="G71" s="245">
        <f t="shared" si="16"/>
        <v>0</v>
      </c>
      <c r="H71" s="245">
        <f t="shared" si="16"/>
        <v>8</v>
      </c>
      <c r="I71" s="245">
        <f t="shared" si="16"/>
        <v>0</v>
      </c>
      <c r="J71" s="224">
        <f t="shared" si="18"/>
        <v>8</v>
      </c>
      <c r="K71" s="224">
        <f t="shared" si="19"/>
        <v>0</v>
      </c>
      <c r="L71" s="224">
        <f t="shared" si="20"/>
        <v>8</v>
      </c>
      <c r="M71" s="246">
        <f t="shared" si="21"/>
        <v>0</v>
      </c>
      <c r="N71" s="246">
        <f t="shared" si="22"/>
        <v>0</v>
      </c>
    </row>
    <row r="72" spans="1:22" s="247" customFormat="1">
      <c r="B72" s="269" t="str">
        <f t="shared" si="17"/>
        <v>Subscapular sf</v>
      </c>
      <c r="C72" s="269"/>
      <c r="D72" s="269"/>
      <c r="E72" s="269"/>
      <c r="F72" s="269"/>
      <c r="G72" s="245">
        <f t="shared" si="16"/>
        <v>0</v>
      </c>
      <c r="H72" s="245">
        <f t="shared" si="16"/>
        <v>9</v>
      </c>
      <c r="I72" s="245">
        <f t="shared" si="16"/>
        <v>0</v>
      </c>
      <c r="J72" s="224">
        <f t="shared" si="18"/>
        <v>9</v>
      </c>
      <c r="K72" s="224">
        <f t="shared" si="19"/>
        <v>0</v>
      </c>
      <c r="L72" s="224">
        <f t="shared" si="20"/>
        <v>9</v>
      </c>
      <c r="M72" s="246">
        <f t="shared" si="21"/>
        <v>0</v>
      </c>
      <c r="N72" s="246">
        <f t="shared" si="22"/>
        <v>0</v>
      </c>
    </row>
    <row r="73" spans="1:22" s="247" customFormat="1">
      <c r="B73" s="269" t="str">
        <f t="shared" si="17"/>
        <v>Biceps sf</v>
      </c>
      <c r="C73" s="269"/>
      <c r="D73" s="269"/>
      <c r="E73" s="269"/>
      <c r="F73" s="269"/>
      <c r="G73" s="245">
        <f t="shared" si="16"/>
        <v>0</v>
      </c>
      <c r="H73" s="245">
        <f t="shared" si="16"/>
        <v>3</v>
      </c>
      <c r="I73" s="245">
        <f t="shared" si="16"/>
        <v>0</v>
      </c>
      <c r="J73" s="224">
        <f t="shared" si="18"/>
        <v>3</v>
      </c>
      <c r="K73" s="224">
        <f t="shared" si="19"/>
        <v>0</v>
      </c>
      <c r="L73" s="224">
        <f t="shared" si="20"/>
        <v>3</v>
      </c>
      <c r="M73" s="246">
        <f t="shared" si="21"/>
        <v>0</v>
      </c>
      <c r="N73" s="246">
        <f t="shared" si="22"/>
        <v>0</v>
      </c>
    </row>
    <row r="74" spans="1:22" s="247" customFormat="1">
      <c r="B74" s="269" t="str">
        <f t="shared" si="17"/>
        <v>Iliac crest sf</v>
      </c>
      <c r="C74" s="269"/>
      <c r="D74" s="269"/>
      <c r="E74" s="269"/>
      <c r="F74" s="269"/>
      <c r="G74" s="245">
        <f t="shared" si="16"/>
        <v>0</v>
      </c>
      <c r="H74" s="245">
        <f t="shared" si="16"/>
        <v>20</v>
      </c>
      <c r="I74" s="245">
        <f t="shared" si="16"/>
        <v>0</v>
      </c>
      <c r="J74" s="224">
        <f t="shared" si="18"/>
        <v>20</v>
      </c>
      <c r="K74" s="224">
        <f t="shared" si="19"/>
        <v>0</v>
      </c>
      <c r="L74" s="224">
        <f t="shared" si="20"/>
        <v>20</v>
      </c>
      <c r="M74" s="246">
        <f t="shared" si="21"/>
        <v>0</v>
      </c>
      <c r="N74" s="246">
        <f t="shared" si="22"/>
        <v>0</v>
      </c>
    </row>
    <row r="75" spans="1:22" s="247" customFormat="1">
      <c r="B75" s="269" t="str">
        <f t="shared" si="17"/>
        <v>Supraspinale sf</v>
      </c>
      <c r="C75" s="269"/>
      <c r="D75" s="269"/>
      <c r="E75" s="269"/>
      <c r="F75" s="269"/>
      <c r="G75" s="245">
        <f t="shared" si="16"/>
        <v>0</v>
      </c>
      <c r="H75" s="245">
        <f t="shared" si="16"/>
        <v>6</v>
      </c>
      <c r="I75" s="245">
        <f t="shared" si="16"/>
        <v>0</v>
      </c>
      <c r="J75" s="224">
        <f t="shared" si="18"/>
        <v>6</v>
      </c>
      <c r="K75" s="224">
        <f t="shared" si="19"/>
        <v>0</v>
      </c>
      <c r="L75" s="224">
        <f t="shared" si="20"/>
        <v>6</v>
      </c>
      <c r="M75" s="246">
        <f t="shared" si="21"/>
        <v>0</v>
      </c>
      <c r="N75" s="246">
        <f t="shared" si="22"/>
        <v>0</v>
      </c>
    </row>
    <row r="76" spans="1:22" s="247" customFormat="1">
      <c r="B76" s="269" t="str">
        <f t="shared" si="17"/>
        <v>Abdominal sf</v>
      </c>
      <c r="C76" s="269"/>
      <c r="D76" s="269"/>
      <c r="E76" s="269"/>
      <c r="F76" s="269"/>
      <c r="G76" s="245">
        <f t="shared" si="16"/>
        <v>0</v>
      </c>
      <c r="H76" s="245">
        <f t="shared" si="16"/>
        <v>14</v>
      </c>
      <c r="I76" s="245">
        <f t="shared" si="16"/>
        <v>0</v>
      </c>
      <c r="J76" s="224">
        <f t="shared" si="18"/>
        <v>14</v>
      </c>
      <c r="K76" s="224">
        <f t="shared" si="19"/>
        <v>0</v>
      </c>
      <c r="L76" s="224">
        <f t="shared" si="20"/>
        <v>14</v>
      </c>
      <c r="M76" s="246">
        <f t="shared" si="21"/>
        <v>0</v>
      </c>
      <c r="N76" s="246">
        <f t="shared" si="22"/>
        <v>0</v>
      </c>
    </row>
    <row r="77" spans="1:22" s="247" customFormat="1">
      <c r="A77" s="244"/>
      <c r="B77" s="269" t="str">
        <f t="shared" si="17"/>
        <v>Thigh sf</v>
      </c>
      <c r="C77" s="269"/>
      <c r="D77" s="269"/>
      <c r="E77" s="269"/>
      <c r="F77" s="269"/>
      <c r="G77" s="245">
        <f t="shared" si="16"/>
        <v>0</v>
      </c>
      <c r="H77" s="245">
        <f t="shared" si="16"/>
        <v>13.5</v>
      </c>
      <c r="I77" s="245">
        <f t="shared" si="16"/>
        <v>0</v>
      </c>
      <c r="J77" s="224">
        <f t="shared" si="18"/>
        <v>13.5</v>
      </c>
      <c r="K77" s="224">
        <f t="shared" si="19"/>
        <v>0</v>
      </c>
      <c r="L77" s="224">
        <f t="shared" si="20"/>
        <v>13.5</v>
      </c>
      <c r="M77" s="246">
        <f t="shared" si="21"/>
        <v>0</v>
      </c>
      <c r="N77" s="246">
        <f t="shared" si="22"/>
        <v>0</v>
      </c>
    </row>
    <row r="78" spans="1:22" s="247" customFormat="1">
      <c r="B78" s="269" t="str">
        <f t="shared" si="17"/>
        <v>Calf sf</v>
      </c>
      <c r="C78" s="269"/>
      <c r="D78" s="269"/>
      <c r="E78" s="269"/>
      <c r="F78" s="269"/>
      <c r="G78" s="245">
        <f t="shared" si="16"/>
        <v>0</v>
      </c>
      <c r="H78" s="245">
        <f t="shared" si="16"/>
        <v>12</v>
      </c>
      <c r="I78" s="245">
        <f t="shared" si="16"/>
        <v>0</v>
      </c>
      <c r="J78" s="224">
        <f t="shared" si="18"/>
        <v>12</v>
      </c>
      <c r="K78" s="224">
        <f t="shared" si="19"/>
        <v>0</v>
      </c>
      <c r="L78" s="224">
        <f t="shared" si="20"/>
        <v>12</v>
      </c>
      <c r="M78" s="246">
        <f t="shared" si="21"/>
        <v>0</v>
      </c>
      <c r="N78" s="246">
        <f t="shared" si="22"/>
        <v>0</v>
      </c>
    </row>
    <row r="79" spans="1:22" s="247" customFormat="1">
      <c r="B79" s="269" t="str">
        <f t="shared" si="17"/>
        <v>Arm girth relaxed</v>
      </c>
      <c r="C79" s="269"/>
      <c r="D79" s="269"/>
      <c r="E79" s="269"/>
      <c r="F79" s="269"/>
      <c r="G79" s="245">
        <f t="shared" si="16"/>
        <v>0</v>
      </c>
      <c r="H79" s="245">
        <f t="shared" si="16"/>
        <v>39.5</v>
      </c>
      <c r="I79" s="245">
        <f t="shared" si="16"/>
        <v>0</v>
      </c>
      <c r="J79" s="224">
        <f t="shared" si="18"/>
        <v>39.5</v>
      </c>
      <c r="K79" s="224">
        <f t="shared" si="19"/>
        <v>0</v>
      </c>
      <c r="L79" s="224">
        <f t="shared" si="20"/>
        <v>39.5</v>
      </c>
      <c r="M79" s="246">
        <f t="shared" si="21"/>
        <v>0</v>
      </c>
      <c r="N79" s="246">
        <f t="shared" si="22"/>
        <v>0</v>
      </c>
    </row>
    <row r="80" spans="1:22" s="247" customFormat="1">
      <c r="B80" s="269" t="str">
        <f>B27</f>
        <v>Arm girth flexed and tensed</v>
      </c>
      <c r="C80" s="269"/>
      <c r="D80" s="269"/>
      <c r="E80" s="269"/>
      <c r="F80" s="269"/>
      <c r="G80" s="245">
        <f t="shared" ref="G80:I83" si="23">+G27</f>
        <v>0</v>
      </c>
      <c r="H80" s="245">
        <f t="shared" si="23"/>
        <v>42.5</v>
      </c>
      <c r="I80" s="245">
        <f t="shared" si="23"/>
        <v>0</v>
      </c>
      <c r="J80" s="224">
        <f t="shared" si="18"/>
        <v>42.5</v>
      </c>
      <c r="K80" s="224">
        <f t="shared" si="19"/>
        <v>0</v>
      </c>
      <c r="L80" s="224">
        <f t="shared" si="20"/>
        <v>42.5</v>
      </c>
      <c r="M80" s="246">
        <f t="shared" si="21"/>
        <v>0</v>
      </c>
      <c r="N80" s="246">
        <f t="shared" si="22"/>
        <v>0</v>
      </c>
    </row>
    <row r="81" spans="1:14" s="247" customFormat="1">
      <c r="B81" s="269" t="str">
        <f>B28</f>
        <v>Waist girth</v>
      </c>
      <c r="C81" s="269"/>
      <c r="D81" s="269"/>
      <c r="E81" s="269"/>
      <c r="F81" s="269"/>
      <c r="G81" s="245">
        <f t="shared" si="23"/>
        <v>0</v>
      </c>
      <c r="H81" s="245">
        <f t="shared" si="23"/>
        <v>81</v>
      </c>
      <c r="I81" s="245">
        <f t="shared" si="23"/>
        <v>0</v>
      </c>
      <c r="J81" s="224">
        <f t="shared" si="18"/>
        <v>81</v>
      </c>
      <c r="K81" s="224">
        <f t="shared" si="19"/>
        <v>0</v>
      </c>
      <c r="L81" s="224">
        <f t="shared" si="20"/>
        <v>81</v>
      </c>
      <c r="M81" s="246">
        <f t="shared" si="21"/>
        <v>0</v>
      </c>
      <c r="N81" s="246">
        <f t="shared" si="22"/>
        <v>0</v>
      </c>
    </row>
    <row r="82" spans="1:14" s="247" customFormat="1">
      <c r="B82" s="269" t="str">
        <f>B29</f>
        <v>Hips girth</v>
      </c>
      <c r="C82" s="269"/>
      <c r="D82" s="269"/>
      <c r="E82" s="269"/>
      <c r="F82" s="269"/>
      <c r="G82" s="245">
        <f t="shared" si="23"/>
        <v>0</v>
      </c>
      <c r="H82" s="245">
        <f t="shared" si="23"/>
        <v>100.5</v>
      </c>
      <c r="I82" s="245">
        <f t="shared" si="23"/>
        <v>0</v>
      </c>
      <c r="J82" s="224">
        <f t="shared" si="18"/>
        <v>100.5</v>
      </c>
      <c r="K82" s="224">
        <f t="shared" si="19"/>
        <v>0</v>
      </c>
      <c r="L82" s="224">
        <f t="shared" si="20"/>
        <v>100.5</v>
      </c>
      <c r="M82" s="246">
        <f t="shared" si="21"/>
        <v>0</v>
      </c>
      <c r="N82" s="246">
        <f t="shared" si="22"/>
        <v>0</v>
      </c>
    </row>
    <row r="83" spans="1:14">
      <c r="A83" s="247"/>
      <c r="B83" s="269" t="str">
        <f>B30</f>
        <v>Thigh middle girth</v>
      </c>
      <c r="C83" s="269"/>
      <c r="D83" s="269"/>
      <c r="E83" s="269"/>
      <c r="F83" s="269"/>
      <c r="G83" s="245">
        <f t="shared" si="23"/>
        <v>0</v>
      </c>
      <c r="H83" s="245">
        <f t="shared" si="23"/>
        <v>59</v>
      </c>
      <c r="I83" s="245">
        <f t="shared" si="23"/>
        <v>0</v>
      </c>
      <c r="J83" s="224">
        <f t="shared" si="18"/>
        <v>59</v>
      </c>
      <c r="K83" s="224">
        <f t="shared" si="19"/>
        <v>0</v>
      </c>
      <c r="L83" s="224">
        <f t="shared" si="20"/>
        <v>59</v>
      </c>
      <c r="M83" s="246">
        <f t="shared" si="21"/>
        <v>0</v>
      </c>
      <c r="N83" s="246">
        <f t="shared" si="22"/>
        <v>0</v>
      </c>
    </row>
    <row r="84" spans="1:14">
      <c r="B84" s="269" t="str">
        <f>B32</f>
        <v>Calf girth</v>
      </c>
      <c r="C84" s="269"/>
      <c r="D84" s="269"/>
      <c r="E84" s="269"/>
      <c r="F84" s="269"/>
      <c r="G84" s="245">
        <f>+G32</f>
        <v>0</v>
      </c>
      <c r="H84" s="245">
        <f>+H32</f>
        <v>29.5</v>
      </c>
      <c r="I84" s="245">
        <f>+I32</f>
        <v>0</v>
      </c>
      <c r="J84" s="224">
        <f t="shared" si="18"/>
        <v>29.5</v>
      </c>
      <c r="K84" s="224">
        <f t="shared" si="19"/>
        <v>0</v>
      </c>
      <c r="L84" s="224">
        <f t="shared" si="20"/>
        <v>29.5</v>
      </c>
      <c r="M84" s="246">
        <f t="shared" si="21"/>
        <v>0</v>
      </c>
      <c r="N84" s="246">
        <f t="shared" si="22"/>
        <v>0</v>
      </c>
    </row>
    <row r="85" spans="1:14">
      <c r="B85" s="269" t="str">
        <f>B34</f>
        <v>Humerus breadth</v>
      </c>
      <c r="C85" s="269"/>
      <c r="D85" s="269"/>
      <c r="E85" s="269"/>
      <c r="F85" s="269"/>
      <c r="G85" s="245">
        <f t="shared" ref="G85:I87" si="24">+G34</f>
        <v>0</v>
      </c>
      <c r="H85" s="245">
        <f t="shared" si="24"/>
        <v>7.5</v>
      </c>
      <c r="I85" s="245">
        <f t="shared" si="24"/>
        <v>0</v>
      </c>
      <c r="J85" s="224">
        <f t="shared" si="18"/>
        <v>7.5</v>
      </c>
      <c r="K85" s="224">
        <f t="shared" si="19"/>
        <v>0</v>
      </c>
      <c r="L85" s="224">
        <f t="shared" si="20"/>
        <v>7.5</v>
      </c>
      <c r="M85" s="246">
        <f t="shared" si="21"/>
        <v>0</v>
      </c>
      <c r="N85" s="246">
        <f t="shared" si="22"/>
        <v>0</v>
      </c>
    </row>
    <row r="86" spans="1:14">
      <c r="B86" s="269" t="str">
        <f>B35</f>
        <v>Bi-styloid breadth</v>
      </c>
      <c r="C86" s="269"/>
      <c r="D86" s="269"/>
      <c r="E86" s="269"/>
      <c r="F86" s="269"/>
      <c r="G86" s="245">
        <f t="shared" si="24"/>
        <v>0</v>
      </c>
      <c r="H86" s="245">
        <f t="shared" si="24"/>
        <v>5.6</v>
      </c>
      <c r="I86" s="245">
        <f t="shared" si="24"/>
        <v>0</v>
      </c>
      <c r="J86" s="224">
        <f t="shared" si="18"/>
        <v>5.6</v>
      </c>
      <c r="K86" s="224">
        <f t="shared" si="19"/>
        <v>0</v>
      </c>
      <c r="L86" s="224">
        <f t="shared" si="20"/>
        <v>5.6</v>
      </c>
      <c r="M86" s="246">
        <f t="shared" si="21"/>
        <v>0</v>
      </c>
      <c r="N86" s="246">
        <f t="shared" si="22"/>
        <v>0</v>
      </c>
    </row>
    <row r="87" spans="1:14">
      <c r="B87" s="269" t="str">
        <f>B36</f>
        <v>Femur breadth</v>
      </c>
      <c r="C87" s="269"/>
      <c r="D87" s="269"/>
      <c r="E87" s="269"/>
      <c r="F87" s="269"/>
      <c r="G87" s="245">
        <f t="shared" si="24"/>
        <v>0</v>
      </c>
      <c r="H87" s="245">
        <f t="shared" si="24"/>
        <v>9.8000000000000007</v>
      </c>
      <c r="I87" s="245">
        <f t="shared" si="24"/>
        <v>0</v>
      </c>
      <c r="J87" s="224">
        <f t="shared" si="18"/>
        <v>9.8000000000000007</v>
      </c>
      <c r="K87" s="224">
        <f t="shared" si="19"/>
        <v>0</v>
      </c>
      <c r="L87" s="224">
        <f t="shared" si="20"/>
        <v>9.8000000000000007</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M3FEuyjEyE8J8C4zmfpw2qx5qVUMDnfBooDuH4UyRWvHfHTq8RRlaePNUqdKauYRm3brLiX4MKnTk6ez0KxIJw==" saltValue="DgyWR5FvtldFkKCJtKRAF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A91"/>
  <sheetViews>
    <sheetView zoomScaleNormal="75" zoomScaleSheetLayoutView="75" workbookViewId="0">
      <selection activeCell="I28" sqref="I28"/>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52</v>
      </c>
      <c r="H4" s="71"/>
      <c r="I4" s="72"/>
      <c r="J4" s="118"/>
      <c r="K4" s="118"/>
      <c r="L4" s="111"/>
      <c r="M4" s="111"/>
      <c r="N4" s="111"/>
      <c r="O4" s="104"/>
      <c r="P4" s="104"/>
      <c r="Q4" s="113"/>
      <c r="R4" s="105" t="str">
        <f t="shared" ref="R4:R11" si="0">+B4</f>
        <v>Name</v>
      </c>
      <c r="S4" s="119"/>
      <c r="T4" s="119"/>
      <c r="U4" s="120" t="str">
        <f t="shared" ref="U4:U11" si="1">+G4</f>
        <v xml:space="preserve">Drago </v>
      </c>
      <c r="V4" s="107"/>
      <c r="W4" s="107"/>
      <c r="X4" s="121"/>
      <c r="Y4" s="107"/>
      <c r="Z4" s="108"/>
      <c r="AA4" s="115"/>
    </row>
    <row r="5" spans="1:27" s="109" customFormat="1">
      <c r="B5" s="116" t="str">
        <f>IF(Info!D34,"Surname","Apellidos")</f>
        <v>Surname</v>
      </c>
      <c r="C5" s="116"/>
      <c r="D5" s="116"/>
      <c r="E5" s="110"/>
      <c r="F5" s="112"/>
      <c r="G5" s="81" t="s">
        <v>51</v>
      </c>
      <c r="H5" s="73"/>
      <c r="I5" s="74"/>
      <c r="J5" s="122"/>
      <c r="K5" s="122"/>
      <c r="L5" s="122"/>
      <c r="M5" s="122"/>
      <c r="N5" s="123"/>
      <c r="O5" s="104"/>
      <c r="P5" s="104"/>
      <c r="Q5" s="113"/>
      <c r="R5" s="113" t="str">
        <f t="shared" si="0"/>
        <v>Surname</v>
      </c>
      <c r="S5" s="124"/>
      <c r="T5" s="124"/>
      <c r="U5" s="125" t="str">
        <f t="shared" si="1"/>
        <v>Torres</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64</v>
      </c>
      <c r="H9" s="75"/>
      <c r="I9" s="76"/>
      <c r="J9" s="111"/>
      <c r="K9" s="111"/>
      <c r="L9" s="111"/>
      <c r="M9" s="111"/>
      <c r="N9" s="111"/>
      <c r="O9" s="104"/>
      <c r="P9" s="104"/>
      <c r="Q9" s="113"/>
      <c r="R9" s="113" t="str">
        <f t="shared" si="0"/>
        <v>Sport</v>
      </c>
      <c r="S9" s="124"/>
      <c r="T9" s="124"/>
      <c r="U9" s="125" t="str">
        <f t="shared" si="1"/>
        <v>mtb/surf</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44329</v>
      </c>
      <c r="H10" s="76"/>
      <c r="I10" s="76"/>
      <c r="J10" s="111"/>
      <c r="K10" s="111"/>
      <c r="L10" s="111"/>
      <c r="M10" s="111"/>
      <c r="N10" s="122"/>
      <c r="O10" s="104"/>
      <c r="P10" s="104"/>
      <c r="Q10" s="113"/>
      <c r="R10" s="113" t="str">
        <f t="shared" si="0"/>
        <v>Date of Measurement</v>
      </c>
      <c r="S10" s="124"/>
      <c r="T10" s="124"/>
      <c r="U10" s="131">
        <f t="shared" si="1"/>
        <v>44329</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32877</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32877</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71.25</v>
      </c>
      <c r="H13" s="84">
        <v>71.3</v>
      </c>
      <c r="I13" s="84"/>
      <c r="J13" s="150"/>
      <c r="K13" s="151">
        <f>+(H13-G13)/(AVERAGE(G13:H13))</f>
        <v>7.0150824272181204E-4</v>
      </c>
      <c r="L13" s="152" t="str">
        <f>IF(ABS(K13)&gt;1%,"Yes","No")</f>
        <v>No</v>
      </c>
      <c r="M13" s="150"/>
      <c r="N13" s="153">
        <f t="shared" ref="N13:N25" si="2">IF(I13=0,AVERAGE(G13,H13),MEDIAN(G13,H13,I13))</f>
        <v>71.275000000000006</v>
      </c>
      <c r="O13" s="154"/>
      <c r="P13" s="154"/>
      <c r="Q13" s="155"/>
      <c r="R13" s="156" t="str">
        <f t="shared" ref="R13:R36" si="3">+B13</f>
        <v>Mass</v>
      </c>
      <c r="S13" s="157"/>
      <c r="T13" s="157"/>
      <c r="U13" s="158">
        <f t="shared" ref="U13:U25" si="4">+N13</f>
        <v>71.275000000000006</v>
      </c>
      <c r="V13" s="159" t="s">
        <v>25</v>
      </c>
      <c r="W13" s="160">
        <f>1/8.6*(+U13*((170.18/U$14)^3)-64.58)</f>
        <v>-0.3872486936879318</v>
      </c>
      <c r="X13" s="121"/>
      <c r="Y13" s="107"/>
      <c r="Z13" s="108"/>
      <c r="AA13" s="115"/>
    </row>
    <row r="14" spans="1:27" s="109" customFormat="1">
      <c r="B14" s="161" t="str">
        <f>IF(Info!D34,"Stature","Talla")</f>
        <v>Stature</v>
      </c>
      <c r="C14" s="116"/>
      <c r="D14" s="116"/>
      <c r="E14" s="122"/>
      <c r="F14" s="110"/>
      <c r="G14" s="85">
        <v>179</v>
      </c>
      <c r="H14" s="85">
        <v>179</v>
      </c>
      <c r="I14" s="85"/>
      <c r="J14" s="134"/>
      <c r="K14" s="162">
        <f t="shared" ref="K14:K34" si="5">+(H14-G14)/(AVERAGE(G14:H14))</f>
        <v>0</v>
      </c>
      <c r="L14" s="163" t="str">
        <f>IF(ABS(K14)&gt;1%,"Yes","No")</f>
        <v>No</v>
      </c>
      <c r="M14" s="134"/>
      <c r="N14" s="164">
        <f t="shared" si="2"/>
        <v>179</v>
      </c>
      <c r="O14" s="154"/>
      <c r="P14" s="154"/>
      <c r="Q14" s="155"/>
      <c r="R14" s="155" t="str">
        <f t="shared" si="3"/>
        <v>Stature</v>
      </c>
      <c r="S14" s="165"/>
      <c r="T14" s="165"/>
      <c r="U14" s="166">
        <f t="shared" si="4"/>
        <v>179</v>
      </c>
      <c r="V14" s="167" t="s">
        <v>26</v>
      </c>
      <c r="W14" s="132"/>
      <c r="X14" s="132"/>
      <c r="Y14" s="133"/>
      <c r="Z14" s="115"/>
      <c r="AA14" s="115"/>
    </row>
    <row r="15" spans="1:27" s="109" customFormat="1">
      <c r="B15" s="161" t="str">
        <f>IF(Info!D34,"Sitting height","Talla sentado")</f>
        <v>Sitting height</v>
      </c>
      <c r="C15" s="116"/>
      <c r="D15" s="116"/>
      <c r="E15" s="122"/>
      <c r="F15" s="110"/>
      <c r="G15" s="87">
        <v>99</v>
      </c>
      <c r="H15" s="87">
        <v>99</v>
      </c>
      <c r="I15" s="87"/>
      <c r="J15" s="134"/>
      <c r="K15" s="162">
        <f t="shared" si="5"/>
        <v>0</v>
      </c>
      <c r="L15" s="163" t="str">
        <f>IF(ABS(K15)&gt;1%,"Yes","No")</f>
        <v>No</v>
      </c>
      <c r="M15" s="134"/>
      <c r="N15" s="164">
        <f t="shared" si="2"/>
        <v>99</v>
      </c>
      <c r="O15" s="154"/>
      <c r="P15" s="154"/>
      <c r="Q15" s="155"/>
      <c r="R15" s="155" t="str">
        <f t="shared" si="3"/>
        <v>Sitting height</v>
      </c>
      <c r="S15" s="165"/>
      <c r="T15" s="165"/>
      <c r="U15" s="166">
        <f t="shared" si="4"/>
        <v>99</v>
      </c>
      <c r="V15" s="167" t="s">
        <v>26</v>
      </c>
      <c r="W15" s="32">
        <f>1/4.5*(+U15*((170.18/U$14)^1)-89.92)</f>
        <v>0.93375543140906336</v>
      </c>
      <c r="X15" s="132"/>
      <c r="Y15" s="133"/>
      <c r="Z15" s="115"/>
      <c r="AA15" s="115"/>
    </row>
    <row r="16" spans="1:27" s="109" customFormat="1" ht="13.8" thickBot="1">
      <c r="B16" s="161" t="str">
        <f>IF(Info!D34,"Arm Span","Envergadura de brazos")</f>
        <v>Arm Span</v>
      </c>
      <c r="C16" s="116"/>
      <c r="D16" s="116"/>
      <c r="E16" s="122"/>
      <c r="F16" s="110"/>
      <c r="G16" s="87">
        <v>178.5</v>
      </c>
      <c r="H16" s="87">
        <v>178.5</v>
      </c>
      <c r="I16" s="87"/>
      <c r="J16" s="134"/>
      <c r="K16" s="162">
        <f t="shared" si="5"/>
        <v>0</v>
      </c>
      <c r="L16" s="163" t="str">
        <f>IF(ABS(K16)&gt;1%,"Yes","No")</f>
        <v>No</v>
      </c>
      <c r="M16" s="134"/>
      <c r="N16" s="164">
        <f t="shared" si="2"/>
        <v>178.5</v>
      </c>
      <c r="O16" s="154"/>
      <c r="P16" s="154"/>
      <c r="Q16" s="155"/>
      <c r="R16" s="168" t="str">
        <f t="shared" si="3"/>
        <v>Arm Span</v>
      </c>
      <c r="S16" s="169"/>
      <c r="T16" s="169"/>
      <c r="U16" s="170">
        <f t="shared" si="4"/>
        <v>178.5</v>
      </c>
      <c r="V16" s="171" t="s">
        <v>26</v>
      </c>
      <c r="W16" s="33">
        <f>1/7.41*(+U16*((170.18/U$14)^1)-172.35)</f>
        <v>-0.35699907267093056</v>
      </c>
      <c r="X16" s="172"/>
      <c r="Y16" s="173"/>
      <c r="Z16" s="174"/>
      <c r="AA16" s="115"/>
    </row>
    <row r="17" spans="1:27" ht="18" customHeight="1" thickTop="1">
      <c r="A17" s="109"/>
      <c r="B17" s="146" t="str">
        <f>IF(Info!D34,"Triceps sf","PL Tríceps")</f>
        <v>Triceps sf</v>
      </c>
      <c r="C17" s="147"/>
      <c r="D17" s="147"/>
      <c r="E17" s="148"/>
      <c r="F17" s="149"/>
      <c r="G17" s="84">
        <v>8</v>
      </c>
      <c r="H17" s="84">
        <v>8</v>
      </c>
      <c r="I17" s="84"/>
      <c r="J17" s="150"/>
      <c r="K17" s="151">
        <f t="shared" si="5"/>
        <v>0</v>
      </c>
      <c r="L17" s="152" t="str">
        <f t="shared" ref="L17:L24" si="6">IF(ABS(K17)&gt;5%,"Yes","No")</f>
        <v>No</v>
      </c>
      <c r="M17" s="150"/>
      <c r="N17" s="153">
        <f t="shared" si="2"/>
        <v>8</v>
      </c>
      <c r="O17" s="154"/>
      <c r="P17" s="154"/>
      <c r="Q17" s="155"/>
      <c r="R17" s="156" t="str">
        <f t="shared" si="3"/>
        <v>Triceps sf</v>
      </c>
      <c r="S17" s="157"/>
      <c r="T17" s="157"/>
      <c r="U17" s="175">
        <f t="shared" si="4"/>
        <v>8</v>
      </c>
      <c r="V17" s="176" t="s">
        <v>27</v>
      </c>
      <c r="W17" s="177">
        <f>1/4.47*(+U17*((170.18/U$14)^1)-15.4)</f>
        <v>-1.7436666541686976</v>
      </c>
      <c r="X17" s="178"/>
      <c r="Y17" s="176"/>
      <c r="Z17" s="179"/>
      <c r="AA17" s="145"/>
    </row>
    <row r="18" spans="1:27" ht="18" customHeight="1">
      <c r="B18" s="161" t="str">
        <f>IF(Info!D34,"Subscapular sf","PL Subescapular")</f>
        <v>Subscapular sf</v>
      </c>
      <c r="C18" s="116"/>
      <c r="D18" s="116"/>
      <c r="E18" s="122"/>
      <c r="F18" s="110"/>
      <c r="G18" s="85">
        <v>9</v>
      </c>
      <c r="H18" s="85">
        <v>9</v>
      </c>
      <c r="I18" s="85"/>
      <c r="J18" s="134"/>
      <c r="K18" s="162">
        <f t="shared" si="5"/>
        <v>0</v>
      </c>
      <c r="L18" s="163" t="str">
        <f t="shared" si="6"/>
        <v>No</v>
      </c>
      <c r="M18" s="134"/>
      <c r="N18" s="164">
        <f t="shared" si="2"/>
        <v>9</v>
      </c>
      <c r="O18" s="154"/>
      <c r="P18" s="154"/>
      <c r="Q18" s="155"/>
      <c r="R18" s="155" t="str">
        <f t="shared" si="3"/>
        <v>Subscapular sf</v>
      </c>
      <c r="S18" s="165"/>
      <c r="T18" s="165"/>
      <c r="U18" s="180">
        <f t="shared" si="4"/>
        <v>9</v>
      </c>
      <c r="V18" s="143" t="s">
        <v>27</v>
      </c>
      <c r="W18" s="32">
        <f>1/5.07*(+U18*((170.18/U$14)^1)-17.2)</f>
        <v>-1.7048251848423739</v>
      </c>
      <c r="X18" s="181"/>
      <c r="Y18" s="143"/>
      <c r="Z18" s="145"/>
      <c r="AA18" s="145"/>
    </row>
    <row r="19" spans="1:27" ht="18" customHeight="1">
      <c r="B19" s="161" t="str">
        <f>IF(Info!D34,"Biceps sf","PL Bíceps")</f>
        <v>Biceps sf</v>
      </c>
      <c r="C19" s="116"/>
      <c r="D19" s="116"/>
      <c r="E19" s="122"/>
      <c r="F19" s="110"/>
      <c r="G19" s="85">
        <v>3</v>
      </c>
      <c r="H19" s="85">
        <v>3</v>
      </c>
      <c r="I19" s="85"/>
      <c r="J19" s="134"/>
      <c r="K19" s="182">
        <f t="shared" si="5"/>
        <v>0</v>
      </c>
      <c r="L19" s="163" t="str">
        <f t="shared" si="6"/>
        <v>No</v>
      </c>
      <c r="M19" s="134"/>
      <c r="N19" s="164">
        <f t="shared" si="2"/>
        <v>3</v>
      </c>
      <c r="O19" s="154"/>
      <c r="P19" s="154"/>
      <c r="Q19" s="155"/>
      <c r="R19" s="155" t="str">
        <f t="shared" si="3"/>
        <v>Biceps sf</v>
      </c>
      <c r="S19" s="165"/>
      <c r="T19" s="165"/>
      <c r="U19" s="180">
        <f t="shared" si="4"/>
        <v>3</v>
      </c>
      <c r="V19" s="143" t="s">
        <v>27</v>
      </c>
      <c r="W19" s="32">
        <f>1/2*(+U19*((170.18/U$14)^1)-8)</f>
        <v>-2.5739106145251398</v>
      </c>
      <c r="X19" s="181"/>
      <c r="Y19" s="143"/>
      <c r="Z19" s="145"/>
      <c r="AA19" s="145"/>
    </row>
    <row r="20" spans="1:27" ht="18" customHeight="1">
      <c r="B20" s="161" t="str">
        <f>IF(Info!D34,"Iliac crest sf","PL Cresta Iliaca")</f>
        <v>Iliac crest sf</v>
      </c>
      <c r="C20" s="116"/>
      <c r="D20" s="116"/>
      <c r="E20" s="122"/>
      <c r="F20" s="110"/>
      <c r="G20" s="85">
        <v>24.5</v>
      </c>
      <c r="H20" s="85">
        <v>25</v>
      </c>
      <c r="I20" s="85">
        <v>25</v>
      </c>
      <c r="J20" s="134"/>
      <c r="K20" s="182">
        <f t="shared" si="5"/>
        <v>2.0202020202020204E-2</v>
      </c>
      <c r="L20" s="163" t="str">
        <f t="shared" si="6"/>
        <v>No</v>
      </c>
      <c r="M20" s="134"/>
      <c r="N20" s="164">
        <f t="shared" si="2"/>
        <v>25</v>
      </c>
      <c r="O20" s="154"/>
      <c r="P20" s="154"/>
      <c r="Q20" s="155"/>
      <c r="R20" s="155" t="str">
        <f t="shared" si="3"/>
        <v>Iliac crest sf</v>
      </c>
      <c r="S20" s="165"/>
      <c r="T20" s="165"/>
      <c r="U20" s="180">
        <f t="shared" si="4"/>
        <v>25</v>
      </c>
      <c r="V20" s="143" t="s">
        <v>28</v>
      </c>
      <c r="W20" s="32">
        <f>1/6.8*(+U20*((170.18/U$14)^1)-22.4)</f>
        <v>0.20119947420308962</v>
      </c>
      <c r="X20" s="181"/>
      <c r="Y20" s="143"/>
      <c r="Z20" s="145"/>
      <c r="AA20" s="145"/>
    </row>
    <row r="21" spans="1:27" ht="18" customHeight="1">
      <c r="B21" s="161" t="str">
        <f>IF(Info!D34,"Supraspinale sf","PL Supraespinal")</f>
        <v>Supraspinale sf</v>
      </c>
      <c r="C21" s="116"/>
      <c r="D21" s="116"/>
      <c r="E21" s="122"/>
      <c r="F21" s="110"/>
      <c r="G21" s="85">
        <v>6</v>
      </c>
      <c r="H21" s="85">
        <v>6</v>
      </c>
      <c r="I21" s="85"/>
      <c r="J21" s="134"/>
      <c r="K21" s="162">
        <f t="shared" si="5"/>
        <v>0</v>
      </c>
      <c r="L21" s="163" t="str">
        <f t="shared" si="6"/>
        <v>No</v>
      </c>
      <c r="M21" s="134"/>
      <c r="N21" s="164">
        <f t="shared" si="2"/>
        <v>6</v>
      </c>
      <c r="O21" s="154"/>
      <c r="P21" s="154"/>
      <c r="Q21" s="155"/>
      <c r="R21" s="155" t="str">
        <f t="shared" si="3"/>
        <v>Supraspinale sf</v>
      </c>
      <c r="S21" s="165"/>
      <c r="T21" s="165"/>
      <c r="U21" s="180">
        <f t="shared" si="4"/>
        <v>6</v>
      </c>
      <c r="V21" s="143" t="s">
        <v>27</v>
      </c>
      <c r="W21" s="32">
        <f>1/4.47*(+U21*((170.18/U$14)^1)-15.4)</f>
        <v>-2.1690475297764111</v>
      </c>
      <c r="X21" s="181"/>
      <c r="Y21" s="143"/>
      <c r="Z21" s="145"/>
      <c r="AA21" s="145"/>
    </row>
    <row r="22" spans="1:27" ht="18" customHeight="1">
      <c r="B22" s="161" t="str">
        <f>IF(Info!D34,"Abdominal sf","PL Abdominal")</f>
        <v>Abdominal sf</v>
      </c>
      <c r="C22" s="116"/>
      <c r="D22" s="116"/>
      <c r="E22" s="122"/>
      <c r="F22" s="110"/>
      <c r="G22" s="85">
        <v>13</v>
      </c>
      <c r="H22" s="85">
        <v>13</v>
      </c>
      <c r="I22" s="85"/>
      <c r="J22" s="134"/>
      <c r="K22" s="162">
        <f t="shared" si="5"/>
        <v>0</v>
      </c>
      <c r="L22" s="163" t="str">
        <f t="shared" si="6"/>
        <v>No</v>
      </c>
      <c r="M22" s="134"/>
      <c r="N22" s="164">
        <f t="shared" si="2"/>
        <v>13</v>
      </c>
      <c r="O22" s="154"/>
      <c r="P22" s="154"/>
      <c r="Q22" s="155"/>
      <c r="R22" s="155" t="str">
        <f t="shared" si="3"/>
        <v>Abdominal sf</v>
      </c>
      <c r="S22" s="165"/>
      <c r="T22" s="165"/>
      <c r="U22" s="180">
        <f t="shared" si="4"/>
        <v>13</v>
      </c>
      <c r="V22" s="143" t="s">
        <v>27</v>
      </c>
      <c r="W22" s="32">
        <f>1/7.78*(+U22*((170.18/U$14)^1)-25.4)</f>
        <v>-1.6761643520845595</v>
      </c>
      <c r="X22" s="181"/>
      <c r="Y22" s="143"/>
      <c r="Z22" s="145"/>
      <c r="AA22" s="145"/>
    </row>
    <row r="23" spans="1:27" ht="18" customHeight="1">
      <c r="B23" s="161" t="str">
        <f>IF(Info!D34,"Thigh sf","PL Muslo")</f>
        <v>Thigh sf</v>
      </c>
      <c r="C23" s="116"/>
      <c r="D23" s="116"/>
      <c r="E23" s="122"/>
      <c r="F23" s="110"/>
      <c r="G23" s="85">
        <v>13</v>
      </c>
      <c r="H23" s="85">
        <v>13</v>
      </c>
      <c r="I23" s="85"/>
      <c r="J23" s="134"/>
      <c r="K23" s="182">
        <f t="shared" si="5"/>
        <v>0</v>
      </c>
      <c r="L23" s="163" t="str">
        <f t="shared" si="6"/>
        <v>No</v>
      </c>
      <c r="M23" s="134"/>
      <c r="N23" s="164">
        <f t="shared" si="2"/>
        <v>13</v>
      </c>
      <c r="O23" s="154"/>
      <c r="P23" s="154"/>
      <c r="Q23" s="155"/>
      <c r="R23" s="155" t="str">
        <f t="shared" si="3"/>
        <v>Thigh sf</v>
      </c>
      <c r="S23" s="165"/>
      <c r="T23" s="165"/>
      <c r="U23" s="180">
        <f t="shared" si="4"/>
        <v>13</v>
      </c>
      <c r="V23" s="143" t="s">
        <v>27</v>
      </c>
      <c r="W23" s="32">
        <f>1/8.33*(+U23*((170.18/U$14)^1)-27)</f>
        <v>-1.7575700671329981</v>
      </c>
      <c r="X23" s="181"/>
      <c r="Y23" s="143"/>
      <c r="Z23" s="145"/>
      <c r="AA23" s="145"/>
    </row>
    <row r="24" spans="1:27" ht="18" customHeight="1" thickBot="1">
      <c r="B24" s="183" t="str">
        <f>IF(Info!D34,"Calf sf","PL Pierna")</f>
        <v>Calf sf</v>
      </c>
      <c r="C24" s="184"/>
      <c r="D24" s="184"/>
      <c r="E24" s="185"/>
      <c r="F24" s="186"/>
      <c r="G24" s="86">
        <v>6.5</v>
      </c>
      <c r="H24" s="86">
        <v>6.5</v>
      </c>
      <c r="I24" s="86"/>
      <c r="J24" s="187"/>
      <c r="K24" s="182">
        <f t="shared" si="5"/>
        <v>0</v>
      </c>
      <c r="L24" s="188" t="str">
        <f t="shared" si="6"/>
        <v>No</v>
      </c>
      <c r="M24" s="187"/>
      <c r="N24" s="189">
        <f t="shared" si="2"/>
        <v>6.5</v>
      </c>
      <c r="O24" s="154"/>
      <c r="P24" s="154"/>
      <c r="Q24" s="155"/>
      <c r="R24" s="168" t="str">
        <f t="shared" si="3"/>
        <v>Calf sf</v>
      </c>
      <c r="S24" s="169"/>
      <c r="T24" s="169"/>
      <c r="U24" s="170">
        <f t="shared" si="4"/>
        <v>6.5</v>
      </c>
      <c r="V24" s="173" t="s">
        <v>27</v>
      </c>
      <c r="W24" s="33">
        <f>1/4.67*(+U24*((170.18/U$14)^1)-16)</f>
        <v>-2.1028435395308218</v>
      </c>
      <c r="X24" s="172"/>
      <c r="Y24" s="173"/>
      <c r="Z24" s="174"/>
      <c r="AA24" s="145"/>
    </row>
    <row r="25" spans="1:27" ht="18" customHeight="1">
      <c r="B25" s="161" t="str">
        <f>IF(Info!D34,"Arm girth relaxed","PR Brazo relajado")</f>
        <v>Arm girth relaxed</v>
      </c>
      <c r="C25" s="116"/>
      <c r="D25" s="116"/>
      <c r="E25" s="122"/>
      <c r="F25" s="110"/>
      <c r="G25" s="85">
        <v>34.5</v>
      </c>
      <c r="H25" s="85">
        <v>34.4</v>
      </c>
      <c r="I25" s="85"/>
      <c r="J25" s="134"/>
      <c r="K25" s="151">
        <f t="shared" si="5"/>
        <v>-2.902757619738793E-3</v>
      </c>
      <c r="L25" s="163" t="str">
        <f>IF(ABS(K25)&gt;1%,"Yes","No")</f>
        <v>No</v>
      </c>
      <c r="M25" s="134"/>
      <c r="N25" s="164">
        <f t="shared" si="2"/>
        <v>34.450000000000003</v>
      </c>
      <c r="O25" s="154"/>
      <c r="P25" s="154"/>
      <c r="Q25" s="155"/>
      <c r="R25" s="155" t="str">
        <f t="shared" si="3"/>
        <v>Arm girth relaxed</v>
      </c>
      <c r="S25" s="165"/>
      <c r="T25" s="165"/>
      <c r="U25" s="180">
        <f t="shared" si="4"/>
        <v>34.450000000000003</v>
      </c>
      <c r="V25" s="143" t="s">
        <v>26</v>
      </c>
      <c r="W25" s="32">
        <f>1/2.33*(+U25*((170.18/U$14)^1)-26.89)</f>
        <v>2.5161028124775235</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31.936725877128168</v>
      </c>
      <c r="V26" s="143" t="s">
        <v>26</v>
      </c>
      <c r="W26" s="32">
        <f>1/1.91*(+U26*((170.18/U$14)^1)-22.05)</f>
        <v>4.3523999232784583</v>
      </c>
      <c r="X26" s="181"/>
      <c r="Y26" s="143"/>
      <c r="Z26" s="145"/>
      <c r="AA26" s="145"/>
    </row>
    <row r="27" spans="1:27" ht="18" customHeight="1">
      <c r="B27" s="199" t="str">
        <f>IF(Info!D34,"Arm girth flexed and tensed","PR Brazo flexionado y contraído")</f>
        <v>Arm girth flexed and tensed</v>
      </c>
      <c r="C27" s="116"/>
      <c r="D27" s="116"/>
      <c r="E27" s="122"/>
      <c r="F27" s="110"/>
      <c r="G27" s="85">
        <v>37.1</v>
      </c>
      <c r="H27" s="85">
        <v>37.200000000000003</v>
      </c>
      <c r="I27" s="85"/>
      <c r="J27" s="134"/>
      <c r="K27" s="182">
        <f t="shared" si="5"/>
        <v>2.6917900403768884E-3</v>
      </c>
      <c r="L27" s="163" t="str">
        <f>IF(ABS(K27)&gt;1%,"Yes","No")</f>
        <v>No</v>
      </c>
      <c r="M27" s="134"/>
      <c r="N27" s="164">
        <f>IF(I27=0,AVERAGE(G27,H27),MEDIAN(G27,H27,I27))</f>
        <v>37.150000000000006</v>
      </c>
      <c r="O27" s="154"/>
      <c r="P27" s="154"/>
      <c r="Q27" s="155"/>
      <c r="R27" s="155" t="str">
        <f t="shared" si="3"/>
        <v>Arm girth flexed and tensed</v>
      </c>
      <c r="S27" s="165"/>
      <c r="T27" s="165"/>
      <c r="U27" s="180">
        <f>+N27</f>
        <v>37.150000000000006</v>
      </c>
      <c r="V27" s="143" t="s">
        <v>26</v>
      </c>
      <c r="W27" s="32">
        <f>1/2.37*(+U27*((170.18/U$14)^1)-29.41)</f>
        <v>2.493451665370205</v>
      </c>
      <c r="X27" s="181"/>
      <c r="Y27" s="143"/>
      <c r="Z27" s="145"/>
      <c r="AA27" s="145"/>
    </row>
    <row r="28" spans="1:27" ht="18" customHeight="1">
      <c r="B28" s="200" t="str">
        <f>IF(Info!D34,"Waist girth","PR Cintura")</f>
        <v>Waist girth</v>
      </c>
      <c r="C28" s="116"/>
      <c r="D28" s="116"/>
      <c r="E28" s="122"/>
      <c r="F28" s="110"/>
      <c r="G28" s="85">
        <v>76</v>
      </c>
      <c r="H28" s="85">
        <v>76</v>
      </c>
      <c r="I28" s="85"/>
      <c r="J28" s="134"/>
      <c r="K28" s="182">
        <f t="shared" si="5"/>
        <v>0</v>
      </c>
      <c r="L28" s="163" t="str">
        <f>IF(ABS(K28)&gt;1%,"Yes","No")</f>
        <v>No</v>
      </c>
      <c r="M28" s="134"/>
      <c r="N28" s="164">
        <f>IF(I28=0,AVERAGE(G28,H28),MEDIAN(G28,H28,I28))</f>
        <v>76</v>
      </c>
      <c r="O28" s="154"/>
      <c r="P28" s="154"/>
      <c r="Q28" s="155"/>
      <c r="R28" s="155" t="str">
        <f t="shared" si="3"/>
        <v>Waist girth</v>
      </c>
      <c r="S28" s="165"/>
      <c r="T28" s="165"/>
      <c r="U28" s="180">
        <f>+N28</f>
        <v>76</v>
      </c>
      <c r="V28" s="143" t="s">
        <v>26</v>
      </c>
      <c r="W28" s="32">
        <f>1/4.45*(+U28*((170.18/U$14)^1)-71.91)</f>
        <v>7.7572029376690374E-2</v>
      </c>
      <c r="X28" s="181"/>
      <c r="Y28" s="143"/>
      <c r="Z28" s="145"/>
      <c r="AA28" s="145"/>
    </row>
    <row r="29" spans="1:27" ht="18" customHeight="1">
      <c r="B29" s="200" t="str">
        <f>IF(Info!D34,"Hips girth","PR Caderas")</f>
        <v>Hips girth</v>
      </c>
      <c r="C29" s="116"/>
      <c r="D29" s="116"/>
      <c r="E29" s="122"/>
      <c r="F29" s="110"/>
      <c r="G29" s="85">
        <v>90</v>
      </c>
      <c r="H29" s="85">
        <v>90.2</v>
      </c>
      <c r="I29" s="85">
        <v>90.2</v>
      </c>
      <c r="J29" s="134"/>
      <c r="K29" s="182">
        <f t="shared" si="5"/>
        <v>2.2197558268590772E-3</v>
      </c>
      <c r="L29" s="163" t="str">
        <f>IF(ABS(K29)&gt;1%,"Yes","No")</f>
        <v>No</v>
      </c>
      <c r="M29" s="134"/>
      <c r="N29" s="164">
        <f>IF(I29=0,AVERAGE(G29,H29),MEDIAN(G29,H29,I29))</f>
        <v>90.2</v>
      </c>
      <c r="O29" s="154"/>
      <c r="P29" s="154"/>
      <c r="Q29" s="155"/>
      <c r="R29" s="155" t="str">
        <f t="shared" si="3"/>
        <v>Hips girth</v>
      </c>
      <c r="S29" s="165"/>
      <c r="T29" s="165"/>
      <c r="U29" s="180">
        <f>+N29</f>
        <v>90.2</v>
      </c>
      <c r="V29" s="143" t="s">
        <v>26</v>
      </c>
      <c r="W29" s="32">
        <f>1/5.58*(+U29*((170.18/U$14)^1)-94.67)</f>
        <v>-1.5975791433891968</v>
      </c>
      <c r="X29" s="181"/>
      <c r="Y29" s="143"/>
      <c r="Z29" s="145"/>
      <c r="AA29" s="145"/>
    </row>
    <row r="30" spans="1:27" ht="18" customHeight="1">
      <c r="B30" s="200" t="str">
        <f>IF(Info!D34,"Thigh middle girth","PR Muslo medio")</f>
        <v>Thigh middle girth</v>
      </c>
      <c r="C30" s="116"/>
      <c r="D30" s="116"/>
      <c r="E30" s="122"/>
      <c r="F30" s="110"/>
      <c r="G30" s="85">
        <v>52</v>
      </c>
      <c r="H30" s="85">
        <v>52</v>
      </c>
      <c r="I30" s="85"/>
      <c r="J30" s="134"/>
      <c r="K30" s="182">
        <f>+(H30-G30)/(AVERAGE(G30:H30))</f>
        <v>0</v>
      </c>
      <c r="L30" s="163" t="str">
        <f>IF(ABS(K30)&gt;1%,"Yes","No")</f>
        <v>No</v>
      </c>
      <c r="M30" s="134"/>
      <c r="N30" s="164">
        <f>IF(I30=0,AVERAGE(G30,H30),MEDIAN(G30,H30,I30))</f>
        <v>52</v>
      </c>
      <c r="O30" s="154"/>
      <c r="P30" s="154"/>
      <c r="Q30" s="155"/>
      <c r="R30" s="155" t="str">
        <f t="shared" si="3"/>
        <v>Thigh middle girth</v>
      </c>
      <c r="S30" s="165"/>
      <c r="T30" s="165"/>
      <c r="U30" s="180">
        <f>+N30</f>
        <v>52</v>
      </c>
      <c r="V30" s="143" t="s">
        <v>26</v>
      </c>
      <c r="W30" s="32">
        <f>1/4.56*(+U30*((170.18/U$14)^1)-53.2)</f>
        <v>-0.82505145545427727</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47.915929550333267</v>
      </c>
      <c r="V31" s="143" t="s">
        <v>26</v>
      </c>
      <c r="W31" s="32">
        <f>1/3.59*(+U31*((170.18/U$14)^1)-47.34)</f>
        <v>-0.4972333283395588</v>
      </c>
      <c r="X31" s="181"/>
      <c r="Y31" s="143"/>
      <c r="Z31" s="145"/>
      <c r="AA31" s="145"/>
    </row>
    <row r="32" spans="1:27" ht="18" customHeight="1">
      <c r="B32" s="161" t="str">
        <f>IF(Info!D34,"Calf girth","PR Pierna")</f>
        <v>Calf girth</v>
      </c>
      <c r="C32" s="116"/>
      <c r="D32" s="116"/>
      <c r="E32" s="122"/>
      <c r="F32" s="110"/>
      <c r="G32" s="85">
        <v>35.5</v>
      </c>
      <c r="H32" s="85">
        <v>35.5</v>
      </c>
      <c r="I32" s="85"/>
      <c r="J32" s="134"/>
      <c r="K32" s="182">
        <f t="shared" si="5"/>
        <v>0</v>
      </c>
      <c r="L32" s="163" t="str">
        <f>IF(ABS(K32)&gt;1%,"Yes","No")</f>
        <v>No</v>
      </c>
      <c r="M32" s="134"/>
      <c r="N32" s="164">
        <f>IF(I32=0,AVERAGE(G32,H32),MEDIAN(G32,H32,I32))</f>
        <v>35.5</v>
      </c>
      <c r="O32" s="154"/>
      <c r="P32" s="154"/>
      <c r="Q32" s="155"/>
      <c r="R32" s="155" t="str">
        <f t="shared" si="3"/>
        <v>Calf girth</v>
      </c>
      <c r="S32" s="165"/>
      <c r="T32" s="165"/>
      <c r="U32" s="201">
        <f>+N32</f>
        <v>35.5</v>
      </c>
      <c r="V32" s="143" t="s">
        <v>26</v>
      </c>
      <c r="W32" s="32">
        <f>1/2.3*(+U32*((170.18/U$14)^1)-35.25)</f>
        <v>-0.65183385960650908</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33.457964775166637</v>
      </c>
      <c r="V33" s="173" t="s">
        <v>26</v>
      </c>
      <c r="W33" s="33">
        <f>1/1.97*(+U33*((170.18/U$14)^1)-30.22)</f>
        <v>0.80678457714278085</v>
      </c>
      <c r="X33" s="172"/>
      <c r="Y33" s="173"/>
      <c r="Z33" s="174"/>
      <c r="AA33" s="145"/>
    </row>
    <row r="34" spans="1:27" ht="18" customHeight="1" thickBot="1">
      <c r="B34" s="161" t="str">
        <f>IF(Info!D34,"Humerus breadth","D Húmero")</f>
        <v>Humerus breadth</v>
      </c>
      <c r="C34" s="116"/>
      <c r="D34" s="116"/>
      <c r="E34" s="122"/>
      <c r="F34" s="110"/>
      <c r="G34" s="87">
        <v>6.9</v>
      </c>
      <c r="H34" s="87">
        <v>6.9</v>
      </c>
      <c r="I34" s="87"/>
      <c r="J34" s="134"/>
      <c r="K34" s="151">
        <f t="shared" si="5"/>
        <v>0</v>
      </c>
      <c r="L34" s="209" t="str">
        <f>IF(ABS(K34)&gt;1%,"Yes","No")</f>
        <v>No</v>
      </c>
      <c r="M34" s="134"/>
      <c r="N34" s="210">
        <f>IF(I34=0,AVERAGE(G34,H34),MEDIAN(G34,H34,I34))</f>
        <v>6.9</v>
      </c>
      <c r="O34" s="154"/>
      <c r="P34" s="154"/>
      <c r="Q34" s="155"/>
      <c r="R34" s="155" t="str">
        <f t="shared" si="3"/>
        <v>Humerus breadth</v>
      </c>
      <c r="S34" s="165"/>
      <c r="T34" s="165"/>
      <c r="U34" s="180">
        <f>+N34</f>
        <v>6.9</v>
      </c>
      <c r="V34" s="143" t="s">
        <v>26</v>
      </c>
      <c r="W34" s="32">
        <f>1/0.35*(+U34*((170.18/U$14)^1)-6.48)</f>
        <v>0.22860335195530926</v>
      </c>
      <c r="X34" s="181"/>
      <c r="Y34" s="143"/>
      <c r="Z34" s="145"/>
      <c r="AA34" s="145"/>
    </row>
    <row r="35" spans="1:27" ht="18" customHeight="1">
      <c r="B35" s="161" t="str">
        <f>IF(Info!D34,"Bi-styloid breadth","D Biestiloideo")</f>
        <v>Bi-styloid breadth</v>
      </c>
      <c r="C35" s="116"/>
      <c r="D35" s="116"/>
      <c r="E35" s="122"/>
      <c r="F35" s="110"/>
      <c r="G35" s="91">
        <v>5.7</v>
      </c>
      <c r="H35" s="91">
        <v>5.7</v>
      </c>
      <c r="I35" s="91"/>
      <c r="J35" s="134"/>
      <c r="K35" s="151">
        <f>+(H35-G35)/(AVERAGE(G35:H35))</f>
        <v>0</v>
      </c>
      <c r="L35" s="209" t="str">
        <f>IF(ABS(K35)&gt;1%,"Yes","No")</f>
        <v>No</v>
      </c>
      <c r="M35" s="134"/>
      <c r="N35" s="210">
        <f>IF(I35=0,AVERAGE(G35,H35),MEDIAN(G35,H35,I35))</f>
        <v>5.7</v>
      </c>
      <c r="O35" s="154"/>
      <c r="P35" s="154"/>
      <c r="Q35" s="155"/>
      <c r="R35" s="155" t="str">
        <f t="shared" si="3"/>
        <v>Bi-styloid breadth</v>
      </c>
      <c r="S35" s="165"/>
      <c r="T35" s="165"/>
      <c r="U35" s="180">
        <f>+N35</f>
        <v>5.7</v>
      </c>
      <c r="V35" s="143" t="s">
        <v>26</v>
      </c>
      <c r="W35" s="32">
        <f>1/0.28*(+U35*((170.18/U$14)^1)-5.21)</f>
        <v>0.74692737430167733</v>
      </c>
      <c r="X35" s="181"/>
      <c r="Y35" s="143"/>
      <c r="Z35" s="145"/>
      <c r="AA35" s="145"/>
    </row>
    <row r="36" spans="1:27" ht="18" customHeight="1" thickBot="1">
      <c r="B36" s="183" t="str">
        <f>IF(Info!D34,"Femur breadth","D Fémur")</f>
        <v>Femur breadth</v>
      </c>
      <c r="C36" s="184"/>
      <c r="D36" s="184"/>
      <c r="E36" s="185"/>
      <c r="F36" s="186"/>
      <c r="G36" s="86">
        <v>10</v>
      </c>
      <c r="H36" s="86">
        <v>10</v>
      </c>
      <c r="I36" s="86"/>
      <c r="J36" s="187"/>
      <c r="K36" s="182">
        <f>+(H36-G36)/(AVERAGE(G36:H36))</f>
        <v>0</v>
      </c>
      <c r="L36" s="188" t="str">
        <f>IF(ABS(K36)&gt;1%,"Yes","No")</f>
        <v>No</v>
      </c>
      <c r="M36" s="187"/>
      <c r="N36" s="189">
        <f>IF(I36=0,AVERAGE(G36,H36),MEDIAN(G36,H36,I36))</f>
        <v>10</v>
      </c>
      <c r="O36" s="154"/>
      <c r="P36" s="154"/>
      <c r="Q36" s="155"/>
      <c r="R36" s="211" t="str">
        <f t="shared" si="3"/>
        <v>Femur breadth</v>
      </c>
      <c r="S36" s="212"/>
      <c r="T36" s="212"/>
      <c r="U36" s="213">
        <f>+N36</f>
        <v>10</v>
      </c>
      <c r="V36" s="214" t="s">
        <v>26</v>
      </c>
      <c r="W36" s="215">
        <f>1/0.48*(+U36*((170.18/U$14)^1)-9.52)</f>
        <v>-2.653631284916062E-2</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2.1441527484311811</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5.4258500000000005</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3.0222766079665178</v>
      </c>
      <c r="V42" s="224">
        <f>U14/(U13^(1/3))</f>
        <v>43.172509027276661</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22.244936175525112</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0.84257206208425717</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1</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55.5</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83.5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11.657500000000001</v>
      </c>
      <c r="V51" s="227" t="str">
        <f>'3'!V51</f>
        <v>(Slaughter)</v>
      </c>
      <c r="X51" s="229"/>
      <c r="Y51" s="124"/>
      <c r="Z51" s="145"/>
      <c r="AA51" s="145"/>
    </row>
    <row r="52" spans="1:27">
      <c r="B52" s="223" t="str">
        <f t="shared" si="7"/>
        <v>Arm girth relaxed</v>
      </c>
      <c r="C52" s="222"/>
      <c r="D52" s="223">
        <f t="shared" si="8"/>
        <v>0</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11.291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8.4130500000000001</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0</v>
      </c>
      <c r="G54" s="223">
        <f t="shared" si="11"/>
        <v>0</v>
      </c>
      <c r="H54" s="222">
        <f t="shared" si="12"/>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48.729049333585422</v>
      </c>
      <c r="V54" s="239" t="str">
        <f>'3'!V54</f>
        <v>(Lee)</v>
      </c>
      <c r="X54" s="235"/>
      <c r="Y54" s="227"/>
      <c r="Z54" s="145"/>
      <c r="AA54" s="145"/>
    </row>
    <row r="55" spans="1:27">
      <c r="B55" s="223" t="str">
        <f t="shared" si="7"/>
        <v>Waist girth</v>
      </c>
      <c r="C55" s="222"/>
      <c r="D55" s="223">
        <f t="shared" si="8"/>
        <v>1</v>
      </c>
      <c r="E55" s="223">
        <f t="shared" si="9"/>
        <v>0</v>
      </c>
      <c r="F55" s="223">
        <f t="shared" si="10"/>
        <v>0</v>
      </c>
      <c r="G55" s="223">
        <f t="shared" si="11"/>
        <v>0</v>
      </c>
      <c r="H55" s="222">
        <f t="shared" si="12"/>
        <v>0</v>
      </c>
      <c r="I55" s="224">
        <f t="shared" si="13"/>
        <v>0</v>
      </c>
      <c r="J55" s="224">
        <f t="shared" si="13"/>
        <v>0</v>
      </c>
      <c r="K55" s="224"/>
      <c r="L55" s="224">
        <f>COUNTIF(L13:L36,"yes")</f>
        <v>0</v>
      </c>
      <c r="M55" s="224"/>
      <c r="N55" s="224"/>
      <c r="Q55" s="113"/>
      <c r="R55" s="113"/>
      <c r="U55" s="35">
        <f>(U14/100*((0.0064*(U26^2))+(0.0032*(U31^2))+(0.0015*(U33^2)))+(2.56*IF(U8=1,1,0))+(0.136*(U10-U11)/365.25))*100/U13</f>
        <v>48.636312104836641</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1</v>
      </c>
      <c r="H56" s="222">
        <f t="shared" si="12"/>
        <v>0</v>
      </c>
      <c r="I56" s="224">
        <f t="shared" si="13"/>
        <v>0</v>
      </c>
      <c r="J56" s="224">
        <f t="shared" si="13"/>
        <v>0</v>
      </c>
      <c r="K56" s="224"/>
      <c r="L56" s="224"/>
      <c r="M56" s="224"/>
      <c r="N56" s="224"/>
      <c r="Q56" s="113"/>
      <c r="R56" s="113"/>
      <c r="S56" s="226" t="str">
        <f>'3'!S56</f>
        <v>Bone percentage</v>
      </c>
      <c r="U56" s="35">
        <f>(3.02*(((U14/100)^2)*(U35/100)*(U36/100)*400)^0.712)*100/U13</f>
        <v>17.457499736397239</v>
      </c>
      <c r="V56" s="239" t="str">
        <f>'3'!V56</f>
        <v>(Rocha)</v>
      </c>
      <c r="W56" s="241"/>
      <c r="X56" s="233"/>
      <c r="Y56" s="227"/>
      <c r="Z56" s="145"/>
      <c r="AA56" s="145"/>
    </row>
    <row r="57" spans="1:27">
      <c r="B57" s="223" t="str">
        <f t="shared" si="7"/>
        <v>Thigh middle girth</v>
      </c>
      <c r="C57" s="222"/>
      <c r="D57" s="223">
        <f t="shared" si="8"/>
        <v>1</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16</v>
      </c>
      <c r="E64" s="223">
        <f t="shared" si="15"/>
        <v>0</v>
      </c>
      <c r="F64" s="223">
        <f t="shared" si="15"/>
        <v>2</v>
      </c>
      <c r="G64" s="223">
        <f t="shared" si="15"/>
        <v>2</v>
      </c>
      <c r="H64" s="223">
        <f t="shared" si="15"/>
        <v>0</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71.25</v>
      </c>
      <c r="H67" s="245">
        <f t="shared" si="16"/>
        <v>71.3</v>
      </c>
      <c r="I67" s="245">
        <f t="shared" si="16"/>
        <v>0</v>
      </c>
      <c r="J67" s="224">
        <f>ABS(G67-H67)</f>
        <v>4.9999999999997158E-2</v>
      </c>
      <c r="K67" s="224">
        <f>ABS(I67-G67)</f>
        <v>71.25</v>
      </c>
      <c r="L67" s="224">
        <f>ABS(H67-I67)</f>
        <v>71.3</v>
      </c>
      <c r="M67" s="246">
        <f>IF(J67=MIN(J67:L67),G67,IF(K67=MIN(J67:L67),G67,H67))</f>
        <v>71.25</v>
      </c>
      <c r="N67" s="246">
        <f>IF(J67=MIN(J67:L67),H67,IF(K67=MIN(J67:L67),I67,I67))</f>
        <v>71.3</v>
      </c>
    </row>
    <row r="68" spans="1:22" s="247" customFormat="1">
      <c r="B68" s="269" t="str">
        <f t="shared" ref="B68:B79" si="17">B14</f>
        <v>Stature</v>
      </c>
      <c r="C68" s="269"/>
      <c r="D68" s="269"/>
      <c r="E68" s="269"/>
      <c r="F68" s="269"/>
      <c r="G68" s="245">
        <f t="shared" si="16"/>
        <v>179</v>
      </c>
      <c r="H68" s="245">
        <f t="shared" si="16"/>
        <v>179</v>
      </c>
      <c r="I68" s="245">
        <f t="shared" si="16"/>
        <v>0</v>
      </c>
      <c r="J68" s="224">
        <f t="shared" ref="J68:J87" si="18">ABS(G68-H68)</f>
        <v>0</v>
      </c>
      <c r="K68" s="224">
        <f t="shared" ref="K68:K87" si="19">ABS(I68-G68)</f>
        <v>179</v>
      </c>
      <c r="L68" s="224">
        <f t="shared" ref="L68:L87" si="20">ABS(H68-I68)</f>
        <v>179</v>
      </c>
      <c r="M68" s="246">
        <f t="shared" ref="M68:M87" si="21">IF(J68=MIN(J68:L68),G68,IF(K68=MIN(J68:L68),G68,H68))</f>
        <v>179</v>
      </c>
      <c r="N68" s="246">
        <f t="shared" ref="N68:N87" si="22">IF(J68=MIN(J68:L68),H68,IF(K68=MIN(J68:L68),I68,I68))</f>
        <v>179</v>
      </c>
    </row>
    <row r="69" spans="1:22" s="247" customFormat="1">
      <c r="B69" s="269" t="str">
        <f t="shared" si="17"/>
        <v>Sitting height</v>
      </c>
      <c r="C69" s="269"/>
      <c r="D69" s="269"/>
      <c r="E69" s="269"/>
      <c r="F69" s="269"/>
      <c r="G69" s="245">
        <f t="shared" si="16"/>
        <v>99</v>
      </c>
      <c r="H69" s="245">
        <f t="shared" si="16"/>
        <v>99</v>
      </c>
      <c r="I69" s="245">
        <f t="shared" si="16"/>
        <v>0</v>
      </c>
      <c r="J69" s="224">
        <f t="shared" si="18"/>
        <v>0</v>
      </c>
      <c r="K69" s="224">
        <f t="shared" si="19"/>
        <v>99</v>
      </c>
      <c r="L69" s="224">
        <f t="shared" si="20"/>
        <v>99</v>
      </c>
      <c r="M69" s="246">
        <f t="shared" si="21"/>
        <v>99</v>
      </c>
      <c r="N69" s="246">
        <f t="shared" si="22"/>
        <v>99</v>
      </c>
    </row>
    <row r="70" spans="1:22" s="247" customFormat="1">
      <c r="B70" s="269" t="str">
        <f t="shared" si="17"/>
        <v>Arm Span</v>
      </c>
      <c r="C70" s="269"/>
      <c r="D70" s="269"/>
      <c r="E70" s="269"/>
      <c r="F70" s="269"/>
      <c r="G70" s="245">
        <f t="shared" si="16"/>
        <v>178.5</v>
      </c>
      <c r="H70" s="245">
        <f t="shared" si="16"/>
        <v>178.5</v>
      </c>
      <c r="I70" s="245">
        <f t="shared" si="16"/>
        <v>0</v>
      </c>
      <c r="J70" s="224">
        <f t="shared" si="18"/>
        <v>0</v>
      </c>
      <c r="K70" s="224">
        <f t="shared" si="19"/>
        <v>178.5</v>
      </c>
      <c r="L70" s="224">
        <f t="shared" si="20"/>
        <v>178.5</v>
      </c>
      <c r="M70" s="246">
        <f t="shared" si="21"/>
        <v>178.5</v>
      </c>
      <c r="N70" s="246">
        <f t="shared" si="22"/>
        <v>178.5</v>
      </c>
    </row>
    <row r="71" spans="1:22" s="247" customFormat="1">
      <c r="B71" s="269" t="str">
        <f t="shared" si="17"/>
        <v>Triceps sf</v>
      </c>
      <c r="C71" s="269"/>
      <c r="D71" s="269"/>
      <c r="E71" s="269"/>
      <c r="F71" s="269"/>
      <c r="G71" s="245">
        <f t="shared" si="16"/>
        <v>8</v>
      </c>
      <c r="H71" s="245">
        <f t="shared" si="16"/>
        <v>8</v>
      </c>
      <c r="I71" s="245">
        <f t="shared" si="16"/>
        <v>0</v>
      </c>
      <c r="J71" s="224">
        <f t="shared" si="18"/>
        <v>0</v>
      </c>
      <c r="K71" s="224">
        <f t="shared" si="19"/>
        <v>8</v>
      </c>
      <c r="L71" s="224">
        <f t="shared" si="20"/>
        <v>8</v>
      </c>
      <c r="M71" s="246">
        <f t="shared" si="21"/>
        <v>8</v>
      </c>
      <c r="N71" s="246">
        <f t="shared" si="22"/>
        <v>8</v>
      </c>
    </row>
    <row r="72" spans="1:22" s="247" customFormat="1">
      <c r="B72" s="269" t="str">
        <f t="shared" si="17"/>
        <v>Subscapular sf</v>
      </c>
      <c r="C72" s="269"/>
      <c r="D72" s="269"/>
      <c r="E72" s="269"/>
      <c r="F72" s="269"/>
      <c r="G72" s="245">
        <f t="shared" si="16"/>
        <v>9</v>
      </c>
      <c r="H72" s="245">
        <f t="shared" si="16"/>
        <v>9</v>
      </c>
      <c r="I72" s="245">
        <f t="shared" si="16"/>
        <v>0</v>
      </c>
      <c r="J72" s="224">
        <f t="shared" si="18"/>
        <v>0</v>
      </c>
      <c r="K72" s="224">
        <f t="shared" si="19"/>
        <v>9</v>
      </c>
      <c r="L72" s="224">
        <f t="shared" si="20"/>
        <v>9</v>
      </c>
      <c r="M72" s="246">
        <f t="shared" si="21"/>
        <v>9</v>
      </c>
      <c r="N72" s="246">
        <f t="shared" si="22"/>
        <v>9</v>
      </c>
    </row>
    <row r="73" spans="1:22" s="247" customFormat="1">
      <c r="B73" s="269" t="str">
        <f t="shared" si="17"/>
        <v>Biceps sf</v>
      </c>
      <c r="C73" s="269"/>
      <c r="D73" s="269"/>
      <c r="E73" s="269"/>
      <c r="F73" s="269"/>
      <c r="G73" s="245">
        <f t="shared" si="16"/>
        <v>3</v>
      </c>
      <c r="H73" s="245">
        <f t="shared" si="16"/>
        <v>3</v>
      </c>
      <c r="I73" s="245">
        <f t="shared" si="16"/>
        <v>0</v>
      </c>
      <c r="J73" s="224">
        <f t="shared" si="18"/>
        <v>0</v>
      </c>
      <c r="K73" s="224">
        <f t="shared" si="19"/>
        <v>3</v>
      </c>
      <c r="L73" s="224">
        <f t="shared" si="20"/>
        <v>3</v>
      </c>
      <c r="M73" s="246">
        <f t="shared" si="21"/>
        <v>3</v>
      </c>
      <c r="N73" s="246">
        <f t="shared" si="22"/>
        <v>3</v>
      </c>
    </row>
    <row r="74" spans="1:22" s="247" customFormat="1">
      <c r="B74" s="269" t="str">
        <f t="shared" si="17"/>
        <v>Iliac crest sf</v>
      </c>
      <c r="C74" s="269"/>
      <c r="D74" s="269"/>
      <c r="E74" s="269"/>
      <c r="F74" s="269"/>
      <c r="G74" s="245">
        <f t="shared" si="16"/>
        <v>24.5</v>
      </c>
      <c r="H74" s="245">
        <f t="shared" si="16"/>
        <v>25</v>
      </c>
      <c r="I74" s="245">
        <f t="shared" si="16"/>
        <v>25</v>
      </c>
      <c r="J74" s="224">
        <f t="shared" si="18"/>
        <v>0.5</v>
      </c>
      <c r="K74" s="224">
        <f t="shared" si="19"/>
        <v>0.5</v>
      </c>
      <c r="L74" s="224">
        <f t="shared" si="20"/>
        <v>0</v>
      </c>
      <c r="M74" s="246">
        <f t="shared" si="21"/>
        <v>25</v>
      </c>
      <c r="N74" s="246">
        <f t="shared" si="22"/>
        <v>25</v>
      </c>
    </row>
    <row r="75" spans="1:22" s="247" customFormat="1">
      <c r="B75" s="269" t="str">
        <f t="shared" si="17"/>
        <v>Supraspinale sf</v>
      </c>
      <c r="C75" s="269"/>
      <c r="D75" s="269"/>
      <c r="E75" s="269"/>
      <c r="F75" s="269"/>
      <c r="G75" s="245">
        <f t="shared" si="16"/>
        <v>6</v>
      </c>
      <c r="H75" s="245">
        <f t="shared" si="16"/>
        <v>6</v>
      </c>
      <c r="I75" s="245">
        <f t="shared" si="16"/>
        <v>0</v>
      </c>
      <c r="J75" s="224">
        <f t="shared" si="18"/>
        <v>0</v>
      </c>
      <c r="K75" s="224">
        <f t="shared" si="19"/>
        <v>6</v>
      </c>
      <c r="L75" s="224">
        <f t="shared" si="20"/>
        <v>6</v>
      </c>
      <c r="M75" s="246">
        <f t="shared" si="21"/>
        <v>6</v>
      </c>
      <c r="N75" s="246">
        <f t="shared" si="22"/>
        <v>6</v>
      </c>
    </row>
    <row r="76" spans="1:22" s="247" customFormat="1">
      <c r="B76" s="269" t="str">
        <f t="shared" si="17"/>
        <v>Abdominal sf</v>
      </c>
      <c r="C76" s="269"/>
      <c r="D76" s="269"/>
      <c r="E76" s="269"/>
      <c r="F76" s="269"/>
      <c r="G76" s="245">
        <f t="shared" si="16"/>
        <v>13</v>
      </c>
      <c r="H76" s="245">
        <f t="shared" si="16"/>
        <v>13</v>
      </c>
      <c r="I76" s="245">
        <f t="shared" si="16"/>
        <v>0</v>
      </c>
      <c r="J76" s="224">
        <f t="shared" si="18"/>
        <v>0</v>
      </c>
      <c r="K76" s="224">
        <f t="shared" si="19"/>
        <v>13</v>
      </c>
      <c r="L76" s="224">
        <f t="shared" si="20"/>
        <v>13</v>
      </c>
      <c r="M76" s="246">
        <f t="shared" si="21"/>
        <v>13</v>
      </c>
      <c r="N76" s="246">
        <f t="shared" si="22"/>
        <v>13</v>
      </c>
    </row>
    <row r="77" spans="1:22" s="247" customFormat="1">
      <c r="A77" s="244"/>
      <c r="B77" s="269" t="str">
        <f t="shared" si="17"/>
        <v>Thigh sf</v>
      </c>
      <c r="C77" s="269"/>
      <c r="D77" s="269"/>
      <c r="E77" s="269"/>
      <c r="F77" s="269"/>
      <c r="G77" s="245">
        <f t="shared" si="16"/>
        <v>13</v>
      </c>
      <c r="H77" s="245">
        <f t="shared" si="16"/>
        <v>13</v>
      </c>
      <c r="I77" s="245">
        <f t="shared" si="16"/>
        <v>0</v>
      </c>
      <c r="J77" s="224">
        <f t="shared" si="18"/>
        <v>0</v>
      </c>
      <c r="K77" s="224">
        <f t="shared" si="19"/>
        <v>13</v>
      </c>
      <c r="L77" s="224">
        <f t="shared" si="20"/>
        <v>13</v>
      </c>
      <c r="M77" s="246">
        <f t="shared" si="21"/>
        <v>13</v>
      </c>
      <c r="N77" s="246">
        <f t="shared" si="22"/>
        <v>13</v>
      </c>
    </row>
    <row r="78" spans="1:22" s="247" customFormat="1">
      <c r="B78" s="269" t="str">
        <f t="shared" si="17"/>
        <v>Calf sf</v>
      </c>
      <c r="C78" s="269"/>
      <c r="D78" s="269"/>
      <c r="E78" s="269"/>
      <c r="F78" s="269"/>
      <c r="G78" s="245">
        <f t="shared" si="16"/>
        <v>6.5</v>
      </c>
      <c r="H78" s="245">
        <f t="shared" si="16"/>
        <v>6.5</v>
      </c>
      <c r="I78" s="245">
        <f t="shared" si="16"/>
        <v>0</v>
      </c>
      <c r="J78" s="224">
        <f t="shared" si="18"/>
        <v>0</v>
      </c>
      <c r="K78" s="224">
        <f t="shared" si="19"/>
        <v>6.5</v>
      </c>
      <c r="L78" s="224">
        <f t="shared" si="20"/>
        <v>6.5</v>
      </c>
      <c r="M78" s="246">
        <f t="shared" si="21"/>
        <v>6.5</v>
      </c>
      <c r="N78" s="246">
        <f t="shared" si="22"/>
        <v>6.5</v>
      </c>
    </row>
    <row r="79" spans="1:22" s="247" customFormat="1">
      <c r="B79" s="269" t="str">
        <f t="shared" si="17"/>
        <v>Arm girth relaxed</v>
      </c>
      <c r="C79" s="269"/>
      <c r="D79" s="269"/>
      <c r="E79" s="269"/>
      <c r="F79" s="269"/>
      <c r="G79" s="245">
        <f t="shared" si="16"/>
        <v>34.5</v>
      </c>
      <c r="H79" s="245">
        <f t="shared" si="16"/>
        <v>34.4</v>
      </c>
      <c r="I79" s="245">
        <f t="shared" si="16"/>
        <v>0</v>
      </c>
      <c r="J79" s="224">
        <f t="shared" si="18"/>
        <v>0.10000000000000142</v>
      </c>
      <c r="K79" s="224">
        <f t="shared" si="19"/>
        <v>34.5</v>
      </c>
      <c r="L79" s="224">
        <f t="shared" si="20"/>
        <v>34.4</v>
      </c>
      <c r="M79" s="246">
        <f t="shared" si="21"/>
        <v>34.5</v>
      </c>
      <c r="N79" s="246">
        <f t="shared" si="22"/>
        <v>34.4</v>
      </c>
    </row>
    <row r="80" spans="1:22" s="247" customFormat="1">
      <c r="B80" s="269" t="str">
        <f>B27</f>
        <v>Arm girth flexed and tensed</v>
      </c>
      <c r="C80" s="269"/>
      <c r="D80" s="269"/>
      <c r="E80" s="269"/>
      <c r="F80" s="269"/>
      <c r="G80" s="245">
        <f t="shared" ref="G80:I83" si="23">+G27</f>
        <v>37.1</v>
      </c>
      <c r="H80" s="245">
        <f t="shared" si="23"/>
        <v>37.200000000000003</v>
      </c>
      <c r="I80" s="245">
        <f t="shared" si="23"/>
        <v>0</v>
      </c>
      <c r="J80" s="224">
        <f t="shared" si="18"/>
        <v>0.10000000000000142</v>
      </c>
      <c r="K80" s="224">
        <f t="shared" si="19"/>
        <v>37.1</v>
      </c>
      <c r="L80" s="224">
        <f t="shared" si="20"/>
        <v>37.200000000000003</v>
      </c>
      <c r="M80" s="246">
        <f t="shared" si="21"/>
        <v>37.1</v>
      </c>
      <c r="N80" s="246">
        <f t="shared" si="22"/>
        <v>37.200000000000003</v>
      </c>
    </row>
    <row r="81" spans="1:14" s="247" customFormat="1">
      <c r="B81" s="269" t="str">
        <f>B28</f>
        <v>Waist girth</v>
      </c>
      <c r="C81" s="269"/>
      <c r="D81" s="269"/>
      <c r="E81" s="269"/>
      <c r="F81" s="269"/>
      <c r="G81" s="245">
        <f t="shared" si="23"/>
        <v>76</v>
      </c>
      <c r="H81" s="245">
        <f t="shared" si="23"/>
        <v>76</v>
      </c>
      <c r="I81" s="245">
        <f t="shared" si="23"/>
        <v>0</v>
      </c>
      <c r="J81" s="224">
        <f t="shared" si="18"/>
        <v>0</v>
      </c>
      <c r="K81" s="224">
        <f t="shared" si="19"/>
        <v>76</v>
      </c>
      <c r="L81" s="224">
        <f t="shared" si="20"/>
        <v>76</v>
      </c>
      <c r="M81" s="246">
        <f t="shared" si="21"/>
        <v>76</v>
      </c>
      <c r="N81" s="246">
        <f t="shared" si="22"/>
        <v>76</v>
      </c>
    </row>
    <row r="82" spans="1:14" s="247" customFormat="1">
      <c r="B82" s="269" t="str">
        <f>B29</f>
        <v>Hips girth</v>
      </c>
      <c r="C82" s="269"/>
      <c r="D82" s="269"/>
      <c r="E82" s="269"/>
      <c r="F82" s="269"/>
      <c r="G82" s="245">
        <f t="shared" si="23"/>
        <v>90</v>
      </c>
      <c r="H82" s="245">
        <f t="shared" si="23"/>
        <v>90.2</v>
      </c>
      <c r="I82" s="245">
        <f t="shared" si="23"/>
        <v>90.2</v>
      </c>
      <c r="J82" s="224">
        <f t="shared" si="18"/>
        <v>0.20000000000000284</v>
      </c>
      <c r="K82" s="224">
        <f t="shared" si="19"/>
        <v>0.20000000000000284</v>
      </c>
      <c r="L82" s="224">
        <f t="shared" si="20"/>
        <v>0</v>
      </c>
      <c r="M82" s="246">
        <f t="shared" si="21"/>
        <v>90.2</v>
      </c>
      <c r="N82" s="246">
        <f t="shared" si="22"/>
        <v>90.2</v>
      </c>
    </row>
    <row r="83" spans="1:14">
      <c r="A83" s="247"/>
      <c r="B83" s="269" t="str">
        <f>B30</f>
        <v>Thigh middle girth</v>
      </c>
      <c r="C83" s="269"/>
      <c r="D83" s="269"/>
      <c r="E83" s="269"/>
      <c r="F83" s="269"/>
      <c r="G83" s="245">
        <f t="shared" si="23"/>
        <v>52</v>
      </c>
      <c r="H83" s="245">
        <f t="shared" si="23"/>
        <v>52</v>
      </c>
      <c r="I83" s="245">
        <f t="shared" si="23"/>
        <v>0</v>
      </c>
      <c r="J83" s="224">
        <f t="shared" si="18"/>
        <v>0</v>
      </c>
      <c r="K83" s="224">
        <f t="shared" si="19"/>
        <v>52</v>
      </c>
      <c r="L83" s="224">
        <f t="shared" si="20"/>
        <v>52</v>
      </c>
      <c r="M83" s="246">
        <f t="shared" si="21"/>
        <v>52</v>
      </c>
      <c r="N83" s="246">
        <f t="shared" si="22"/>
        <v>52</v>
      </c>
    </row>
    <row r="84" spans="1:14">
      <c r="B84" s="269" t="str">
        <f>B32</f>
        <v>Calf girth</v>
      </c>
      <c r="C84" s="269"/>
      <c r="D84" s="269"/>
      <c r="E84" s="269"/>
      <c r="F84" s="269"/>
      <c r="G84" s="245">
        <f>+G32</f>
        <v>35.5</v>
      </c>
      <c r="H84" s="245">
        <f>+H32</f>
        <v>35.5</v>
      </c>
      <c r="I84" s="245">
        <f>+I32</f>
        <v>0</v>
      </c>
      <c r="J84" s="224">
        <f t="shared" si="18"/>
        <v>0</v>
      </c>
      <c r="K84" s="224">
        <f t="shared" si="19"/>
        <v>35.5</v>
      </c>
      <c r="L84" s="224">
        <f t="shared" si="20"/>
        <v>35.5</v>
      </c>
      <c r="M84" s="246">
        <f t="shared" si="21"/>
        <v>35.5</v>
      </c>
      <c r="N84" s="246">
        <f t="shared" si="22"/>
        <v>35.5</v>
      </c>
    </row>
    <row r="85" spans="1:14">
      <c r="B85" s="269" t="str">
        <f>B34</f>
        <v>Humerus breadth</v>
      </c>
      <c r="C85" s="269"/>
      <c r="D85" s="269"/>
      <c r="E85" s="269"/>
      <c r="F85" s="269"/>
      <c r="G85" s="245">
        <f t="shared" ref="G85:I87" si="24">+G34</f>
        <v>6.9</v>
      </c>
      <c r="H85" s="245">
        <f t="shared" si="24"/>
        <v>6.9</v>
      </c>
      <c r="I85" s="245">
        <f t="shared" si="24"/>
        <v>0</v>
      </c>
      <c r="J85" s="224">
        <f t="shared" si="18"/>
        <v>0</v>
      </c>
      <c r="K85" s="224">
        <f t="shared" si="19"/>
        <v>6.9</v>
      </c>
      <c r="L85" s="224">
        <f t="shared" si="20"/>
        <v>6.9</v>
      </c>
      <c r="M85" s="246">
        <f t="shared" si="21"/>
        <v>6.9</v>
      </c>
      <c r="N85" s="246">
        <f t="shared" si="22"/>
        <v>6.9</v>
      </c>
    </row>
    <row r="86" spans="1:14">
      <c r="B86" s="269" t="str">
        <f>B35</f>
        <v>Bi-styloid breadth</v>
      </c>
      <c r="C86" s="269"/>
      <c r="D86" s="269"/>
      <c r="E86" s="269"/>
      <c r="F86" s="269"/>
      <c r="G86" s="245">
        <f t="shared" si="24"/>
        <v>5.7</v>
      </c>
      <c r="H86" s="245">
        <f t="shared" si="24"/>
        <v>5.7</v>
      </c>
      <c r="I86" s="245">
        <f t="shared" si="24"/>
        <v>0</v>
      </c>
      <c r="J86" s="224">
        <f t="shared" si="18"/>
        <v>0</v>
      </c>
      <c r="K86" s="224">
        <f t="shared" si="19"/>
        <v>5.7</v>
      </c>
      <c r="L86" s="224">
        <f t="shared" si="20"/>
        <v>5.7</v>
      </c>
      <c r="M86" s="246">
        <f t="shared" si="21"/>
        <v>5.7</v>
      </c>
      <c r="N86" s="246">
        <f t="shared" si="22"/>
        <v>5.7</v>
      </c>
    </row>
    <row r="87" spans="1:14">
      <c r="B87" s="269" t="str">
        <f>B36</f>
        <v>Femur breadth</v>
      </c>
      <c r="C87" s="269"/>
      <c r="D87" s="269"/>
      <c r="E87" s="269"/>
      <c r="F87" s="269"/>
      <c r="G87" s="245">
        <f t="shared" si="24"/>
        <v>10</v>
      </c>
      <c r="H87" s="245">
        <f t="shared" si="24"/>
        <v>10</v>
      </c>
      <c r="I87" s="245">
        <f t="shared" si="24"/>
        <v>0</v>
      </c>
      <c r="J87" s="224">
        <f t="shared" si="18"/>
        <v>0</v>
      </c>
      <c r="K87" s="224">
        <f t="shared" si="19"/>
        <v>10</v>
      </c>
      <c r="L87" s="224">
        <f t="shared" si="20"/>
        <v>10</v>
      </c>
      <c r="M87" s="246">
        <f t="shared" si="21"/>
        <v>10</v>
      </c>
      <c r="N87" s="246">
        <f t="shared" si="22"/>
        <v>10</v>
      </c>
    </row>
    <row r="88" spans="1:14">
      <c r="M88" s="103"/>
      <c r="N88" s="103"/>
    </row>
    <row r="89" spans="1:14">
      <c r="M89" s="103"/>
      <c r="N89" s="103"/>
    </row>
    <row r="90" spans="1:14">
      <c r="M90" s="103"/>
      <c r="N90" s="103"/>
    </row>
    <row r="91" spans="1:14">
      <c r="M91" s="103"/>
      <c r="N91" s="103"/>
    </row>
  </sheetData>
  <sheetProtection algorithmName="SHA-512" hashValue="e74/ew/SHbCq2N6QsMqFUSnsgK/zxrSZcd6m1QJPzXt57vykSkXlwX+m6VMHD0mODN1Gr9hhH+ES8zccEq94vw==" saltValue="tFv2GwQaLrAbqWU4Rmx1xQ=="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A91"/>
  <sheetViews>
    <sheetView zoomScaleNormal="75" zoomScaleSheetLayoutView="75" workbookViewId="0">
      <selection activeCell="G9" sqref="G9"/>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53</v>
      </c>
      <c r="H4" s="71"/>
      <c r="I4" s="72"/>
      <c r="J4" s="118"/>
      <c r="K4" s="118"/>
      <c r="L4" s="111"/>
      <c r="M4" s="111"/>
      <c r="N4" s="111"/>
      <c r="O4" s="104"/>
      <c r="P4" s="104"/>
      <c r="Q4" s="113"/>
      <c r="R4" s="105" t="str">
        <f t="shared" ref="R4:R11" si="0">+B4</f>
        <v>Name</v>
      </c>
      <c r="S4" s="119"/>
      <c r="T4" s="119"/>
      <c r="U4" s="120" t="str">
        <f t="shared" ref="U4:U11" si="1">+G4</f>
        <v>Tomas</v>
      </c>
      <c r="V4" s="107"/>
      <c r="W4" s="107"/>
      <c r="X4" s="121"/>
      <c r="Y4" s="107"/>
      <c r="Z4" s="108"/>
      <c r="AA4" s="115"/>
    </row>
    <row r="5" spans="1:27" s="109" customFormat="1">
      <c r="B5" s="116" t="str">
        <f>IF(Info!D34,"Surname","Apellidos")</f>
        <v>Surname</v>
      </c>
      <c r="C5" s="116"/>
      <c r="D5" s="116"/>
      <c r="E5" s="110"/>
      <c r="F5" s="112"/>
      <c r="G5" s="81" t="s">
        <v>54</v>
      </c>
      <c r="H5" s="73"/>
      <c r="I5" s="74"/>
      <c r="J5" s="122"/>
      <c r="K5" s="122"/>
      <c r="L5" s="122"/>
      <c r="M5" s="122"/>
      <c r="N5" s="123"/>
      <c r="O5" s="104"/>
      <c r="P5" s="104"/>
      <c r="Q5" s="113"/>
      <c r="R5" s="113" t="str">
        <f t="shared" si="0"/>
        <v>Surname</v>
      </c>
      <c r="S5" s="124"/>
      <c r="T5" s="124"/>
      <c r="U5" s="125" t="str">
        <f t="shared" si="1"/>
        <v>Aramburú</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65</v>
      </c>
      <c r="H9" s="75"/>
      <c r="I9" s="76"/>
      <c r="J9" s="111"/>
      <c r="K9" s="111"/>
      <c r="L9" s="111"/>
      <c r="M9" s="111"/>
      <c r="N9" s="111"/>
      <c r="O9" s="104"/>
      <c r="P9" s="104"/>
      <c r="Q9" s="113"/>
      <c r="R9" s="113" t="str">
        <f t="shared" si="0"/>
        <v>Sport</v>
      </c>
      <c r="S9" s="124"/>
      <c r="T9" s="124"/>
      <c r="U9" s="125" t="str">
        <f t="shared" si="1"/>
        <v>Natural Bodybuilding</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44332</v>
      </c>
      <c r="H10" s="76"/>
      <c r="I10" s="76"/>
      <c r="J10" s="111"/>
      <c r="K10" s="111"/>
      <c r="L10" s="111"/>
      <c r="M10" s="111"/>
      <c r="N10" s="122"/>
      <c r="O10" s="104"/>
      <c r="P10" s="104"/>
      <c r="Q10" s="113"/>
      <c r="R10" s="113" t="str">
        <f t="shared" si="0"/>
        <v>Date of Measurement</v>
      </c>
      <c r="S10" s="124"/>
      <c r="T10" s="124"/>
      <c r="U10" s="131">
        <f t="shared" si="1"/>
        <v>44332</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35449</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35449</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78.400000000000006</v>
      </c>
      <c r="H13" s="84">
        <v>78.400000000000006</v>
      </c>
      <c r="I13" s="84"/>
      <c r="J13" s="150"/>
      <c r="K13" s="151">
        <f>+(H13-G13)/(AVERAGE(G13:H13))</f>
        <v>0</v>
      </c>
      <c r="L13" s="152" t="str">
        <f>IF(ABS(K13)&gt;1%,"Yes","No")</f>
        <v>No</v>
      </c>
      <c r="M13" s="150"/>
      <c r="N13" s="153">
        <f t="shared" ref="N13:N25" si="2">IF(I13=0,AVERAGE(G13,H13),MEDIAN(G13,H13,I13))</f>
        <v>78.400000000000006</v>
      </c>
      <c r="O13" s="154"/>
      <c r="P13" s="154"/>
      <c r="Q13" s="155"/>
      <c r="R13" s="156" t="str">
        <f t="shared" ref="R13:R36" si="3">+B13</f>
        <v>Mass</v>
      </c>
      <c r="S13" s="157"/>
      <c r="T13" s="157"/>
      <c r="U13" s="158">
        <f t="shared" ref="U13:U25" si="4">+N13</f>
        <v>78.400000000000006</v>
      </c>
      <c r="V13" s="159" t="s">
        <v>25</v>
      </c>
      <c r="W13" s="160">
        <f>1/8.6*(+U13*((170.18/U$14)^3)-64.58)</f>
        <v>1.2440794640665933</v>
      </c>
      <c r="X13" s="121"/>
      <c r="Y13" s="107"/>
      <c r="Z13" s="108"/>
      <c r="AA13" s="115"/>
    </row>
    <row r="14" spans="1:27" s="109" customFormat="1">
      <c r="B14" s="161" t="str">
        <f>IF(Info!D34,"Stature","Talla")</f>
        <v>Stature</v>
      </c>
      <c r="C14" s="116"/>
      <c r="D14" s="116"/>
      <c r="E14" s="122"/>
      <c r="F14" s="110"/>
      <c r="G14" s="85">
        <v>172.5</v>
      </c>
      <c r="H14" s="85">
        <v>172.5</v>
      </c>
      <c r="I14" s="85"/>
      <c r="J14" s="134"/>
      <c r="K14" s="162">
        <f t="shared" ref="K14:K34" si="5">+(H14-G14)/(AVERAGE(G14:H14))</f>
        <v>0</v>
      </c>
      <c r="L14" s="163" t="str">
        <f>IF(ABS(K14)&gt;1%,"Yes","No")</f>
        <v>No</v>
      </c>
      <c r="M14" s="134"/>
      <c r="N14" s="164">
        <f t="shared" si="2"/>
        <v>172.5</v>
      </c>
      <c r="O14" s="154"/>
      <c r="P14" s="154"/>
      <c r="Q14" s="155"/>
      <c r="R14" s="155" t="str">
        <f t="shared" si="3"/>
        <v>Stature</v>
      </c>
      <c r="S14" s="165"/>
      <c r="T14" s="165"/>
      <c r="U14" s="166">
        <f t="shared" si="4"/>
        <v>172.5</v>
      </c>
      <c r="V14" s="167" t="s">
        <v>26</v>
      </c>
      <c r="W14" s="132"/>
      <c r="X14" s="132"/>
      <c r="Y14" s="133"/>
      <c r="Z14" s="115"/>
      <c r="AA14" s="115"/>
    </row>
    <row r="15" spans="1:27" s="109" customFormat="1">
      <c r="B15" s="161" t="str">
        <f>IF(Info!D34,"Sitting height","Talla sentado")</f>
        <v>Sitting height</v>
      </c>
      <c r="C15" s="116"/>
      <c r="D15" s="116"/>
      <c r="E15" s="122"/>
      <c r="F15" s="110"/>
      <c r="G15" s="87">
        <v>91.5</v>
      </c>
      <c r="H15" s="87">
        <v>91.5</v>
      </c>
      <c r="I15" s="87"/>
      <c r="J15" s="134"/>
      <c r="K15" s="162">
        <f t="shared" si="5"/>
        <v>0</v>
      </c>
      <c r="L15" s="163" t="str">
        <f>IF(ABS(K15)&gt;1%,"Yes","No")</f>
        <v>No</v>
      </c>
      <c r="M15" s="134"/>
      <c r="N15" s="164">
        <f t="shared" si="2"/>
        <v>91.5</v>
      </c>
      <c r="O15" s="154"/>
      <c r="P15" s="154"/>
      <c r="Q15" s="155"/>
      <c r="R15" s="155" t="str">
        <f t="shared" si="3"/>
        <v>Sitting height</v>
      </c>
      <c r="S15" s="165"/>
      <c r="T15" s="165"/>
      <c r="U15" s="166">
        <f t="shared" si="4"/>
        <v>91.5</v>
      </c>
      <c r="V15" s="167" t="s">
        <v>26</v>
      </c>
      <c r="W15" s="32">
        <f>1/4.5*(+U15*((170.18/U$14)^1)-89.92)</f>
        <v>7.7642512077296208E-2</v>
      </c>
      <c r="X15" s="132"/>
      <c r="Y15" s="133"/>
      <c r="Z15" s="115"/>
      <c r="AA15" s="115"/>
    </row>
    <row r="16" spans="1:27" s="109" customFormat="1" ht="13.8" thickBot="1">
      <c r="B16" s="161" t="str">
        <f>IF(Info!D34,"Arm Span","Envergadura de brazos")</f>
        <v>Arm Span</v>
      </c>
      <c r="C16" s="116"/>
      <c r="D16" s="116"/>
      <c r="E16" s="122"/>
      <c r="F16" s="110"/>
      <c r="G16" s="87">
        <v>171</v>
      </c>
      <c r="H16" s="87">
        <v>171</v>
      </c>
      <c r="I16" s="87"/>
      <c r="J16" s="134"/>
      <c r="K16" s="162">
        <f t="shared" si="5"/>
        <v>0</v>
      </c>
      <c r="L16" s="163" t="str">
        <f>IF(ABS(K16)&gt;1%,"Yes","No")</f>
        <v>No</v>
      </c>
      <c r="M16" s="134"/>
      <c r="N16" s="164">
        <f t="shared" si="2"/>
        <v>171</v>
      </c>
      <c r="O16" s="154"/>
      <c r="P16" s="154"/>
      <c r="Q16" s="155"/>
      <c r="R16" s="168" t="str">
        <f t="shared" si="3"/>
        <v>Arm Span</v>
      </c>
      <c r="S16" s="169"/>
      <c r="T16" s="169"/>
      <c r="U16" s="170">
        <f t="shared" si="4"/>
        <v>171</v>
      </c>
      <c r="V16" s="171" t="s">
        <v>26</v>
      </c>
      <c r="W16" s="33">
        <f>1/7.41*(+U16*((170.18/U$14)^1)-172.35)</f>
        <v>-0.49255412779439872</v>
      </c>
      <c r="X16" s="172"/>
      <c r="Y16" s="173"/>
      <c r="Z16" s="174"/>
      <c r="AA16" s="115"/>
    </row>
    <row r="17" spans="1:27" ht="18" customHeight="1" thickTop="1">
      <c r="A17" s="109"/>
      <c r="B17" s="146" t="str">
        <f>IF(Info!D34,"Triceps sf","PL Tríceps")</f>
        <v>Triceps sf</v>
      </c>
      <c r="C17" s="147"/>
      <c r="D17" s="147"/>
      <c r="E17" s="148"/>
      <c r="F17" s="149"/>
      <c r="G17" s="84">
        <v>6.5</v>
      </c>
      <c r="H17" s="84">
        <v>6.5</v>
      </c>
      <c r="I17" s="84"/>
      <c r="J17" s="150"/>
      <c r="K17" s="151">
        <f t="shared" si="5"/>
        <v>0</v>
      </c>
      <c r="L17" s="152" t="str">
        <f t="shared" ref="L17:L24" si="6">IF(ABS(K17)&gt;5%,"Yes","No")</f>
        <v>No</v>
      </c>
      <c r="M17" s="150"/>
      <c r="N17" s="153">
        <f t="shared" si="2"/>
        <v>6.5</v>
      </c>
      <c r="O17" s="154"/>
      <c r="P17" s="154"/>
      <c r="Q17" s="155"/>
      <c r="R17" s="156" t="str">
        <f t="shared" si="3"/>
        <v>Triceps sf</v>
      </c>
      <c r="S17" s="157"/>
      <c r="T17" s="157"/>
      <c r="U17" s="175">
        <f t="shared" si="4"/>
        <v>6.5</v>
      </c>
      <c r="V17" s="176" t="s">
        <v>27</v>
      </c>
      <c r="W17" s="177">
        <f>1/4.47*(+U17*((170.18/U$14)^1)-15.4)</f>
        <v>-2.0106085659631039</v>
      </c>
      <c r="X17" s="178"/>
      <c r="Y17" s="176"/>
      <c r="Z17" s="179"/>
      <c r="AA17" s="145"/>
    </row>
    <row r="18" spans="1:27" ht="18" customHeight="1">
      <c r="B18" s="161" t="str">
        <f>IF(Info!D34,"Subscapular sf","PL Subescapular")</f>
        <v>Subscapular sf</v>
      </c>
      <c r="C18" s="116"/>
      <c r="D18" s="116"/>
      <c r="E18" s="122"/>
      <c r="F18" s="110"/>
      <c r="G18" s="85">
        <v>12</v>
      </c>
      <c r="H18" s="85">
        <v>12</v>
      </c>
      <c r="I18" s="85"/>
      <c r="J18" s="134"/>
      <c r="K18" s="162">
        <f t="shared" si="5"/>
        <v>0</v>
      </c>
      <c r="L18" s="163" t="str">
        <f t="shared" si="6"/>
        <v>No</v>
      </c>
      <c r="M18" s="134"/>
      <c r="N18" s="164">
        <f t="shared" si="2"/>
        <v>12</v>
      </c>
      <c r="O18" s="154"/>
      <c r="P18" s="154"/>
      <c r="Q18" s="155"/>
      <c r="R18" s="155" t="str">
        <f t="shared" si="3"/>
        <v>Subscapular sf</v>
      </c>
      <c r="S18" s="165"/>
      <c r="T18" s="165"/>
      <c r="U18" s="180">
        <f t="shared" si="4"/>
        <v>12</v>
      </c>
      <c r="V18" s="143" t="s">
        <v>27</v>
      </c>
      <c r="W18" s="32">
        <f>1/5.07*(+U18*((170.18/U$14)^1)-17.2)</f>
        <v>-1.0574736300488805</v>
      </c>
      <c r="X18" s="181"/>
      <c r="Y18" s="143"/>
      <c r="Z18" s="145"/>
      <c r="AA18" s="145"/>
    </row>
    <row r="19" spans="1:27" ht="18" customHeight="1">
      <c r="B19" s="161" t="str">
        <f>IF(Info!D34,"Biceps sf","PL Bíceps")</f>
        <v>Biceps sf</v>
      </c>
      <c r="C19" s="116"/>
      <c r="D19" s="116"/>
      <c r="E19" s="122"/>
      <c r="F19" s="110"/>
      <c r="G19" s="85">
        <v>3</v>
      </c>
      <c r="H19" s="85">
        <v>3</v>
      </c>
      <c r="I19" s="85"/>
      <c r="J19" s="134"/>
      <c r="K19" s="182">
        <f t="shared" si="5"/>
        <v>0</v>
      </c>
      <c r="L19" s="163" t="str">
        <f t="shared" si="6"/>
        <v>No</v>
      </c>
      <c r="M19" s="134"/>
      <c r="N19" s="164">
        <f t="shared" si="2"/>
        <v>3</v>
      </c>
      <c r="O19" s="154"/>
      <c r="P19" s="154"/>
      <c r="Q19" s="155"/>
      <c r="R19" s="155" t="str">
        <f t="shared" si="3"/>
        <v>Biceps sf</v>
      </c>
      <c r="S19" s="165"/>
      <c r="T19" s="165"/>
      <c r="U19" s="180">
        <f t="shared" si="4"/>
        <v>3</v>
      </c>
      <c r="V19" s="143" t="s">
        <v>27</v>
      </c>
      <c r="W19" s="32">
        <f>1/2*(+U19*((170.18/U$14)^1)-8)</f>
        <v>-2.5201739130434779</v>
      </c>
      <c r="X19" s="181"/>
      <c r="Y19" s="143"/>
      <c r="Z19" s="145"/>
      <c r="AA19" s="145"/>
    </row>
    <row r="20" spans="1:27" ht="18" customHeight="1">
      <c r="B20" s="161" t="str">
        <f>IF(Info!D34,"Iliac crest sf","PL Cresta Iliaca")</f>
        <v>Iliac crest sf</v>
      </c>
      <c r="C20" s="116"/>
      <c r="D20" s="116"/>
      <c r="E20" s="122"/>
      <c r="F20" s="110"/>
      <c r="G20" s="85">
        <v>22</v>
      </c>
      <c r="H20" s="85">
        <v>22</v>
      </c>
      <c r="I20" s="85"/>
      <c r="J20" s="134"/>
      <c r="K20" s="182">
        <f t="shared" si="5"/>
        <v>0</v>
      </c>
      <c r="L20" s="163" t="str">
        <f t="shared" si="6"/>
        <v>No</v>
      </c>
      <c r="M20" s="134"/>
      <c r="N20" s="164">
        <f t="shared" si="2"/>
        <v>22</v>
      </c>
      <c r="O20" s="154"/>
      <c r="P20" s="154"/>
      <c r="Q20" s="155"/>
      <c r="R20" s="155" t="str">
        <f t="shared" si="3"/>
        <v>Iliac crest sf</v>
      </c>
      <c r="S20" s="165"/>
      <c r="T20" s="165"/>
      <c r="U20" s="180">
        <f t="shared" si="4"/>
        <v>22</v>
      </c>
      <c r="V20" s="143" t="s">
        <v>28</v>
      </c>
      <c r="W20" s="32">
        <f>1/6.8*(+U20*((170.18/U$14)^1)-22.4)</f>
        <v>-0.10233589087808979</v>
      </c>
      <c r="X20" s="181"/>
      <c r="Y20" s="143"/>
      <c r="Z20" s="145"/>
      <c r="AA20" s="145"/>
    </row>
    <row r="21" spans="1:27" ht="18" customHeight="1">
      <c r="B21" s="161" t="str">
        <f>IF(Info!D34,"Supraspinale sf","PL Supraespinal")</f>
        <v>Supraspinale sf</v>
      </c>
      <c r="C21" s="116"/>
      <c r="D21" s="116"/>
      <c r="E21" s="122"/>
      <c r="F21" s="110"/>
      <c r="G21" s="85">
        <v>10</v>
      </c>
      <c r="H21" s="85">
        <v>10</v>
      </c>
      <c r="I21" s="85"/>
      <c r="J21" s="134"/>
      <c r="K21" s="162">
        <f t="shared" si="5"/>
        <v>0</v>
      </c>
      <c r="L21" s="163" t="str">
        <f t="shared" si="6"/>
        <v>No</v>
      </c>
      <c r="M21" s="134"/>
      <c r="N21" s="164">
        <f t="shared" si="2"/>
        <v>10</v>
      </c>
      <c r="O21" s="154"/>
      <c r="P21" s="154"/>
      <c r="Q21" s="155"/>
      <c r="R21" s="155" t="str">
        <f t="shared" si="3"/>
        <v>Supraspinale sf</v>
      </c>
      <c r="S21" s="165"/>
      <c r="T21" s="165"/>
      <c r="U21" s="180">
        <f t="shared" si="4"/>
        <v>10</v>
      </c>
      <c r="V21" s="143" t="s">
        <v>27</v>
      </c>
      <c r="W21" s="32">
        <f>1/4.47*(+U21*((170.18/U$14)^1)-15.4)</f>
        <v>-1.2381415556204003</v>
      </c>
      <c r="X21" s="181"/>
      <c r="Y21" s="143"/>
      <c r="Z21" s="145"/>
      <c r="AA21" s="145"/>
    </row>
    <row r="22" spans="1:27" ht="18" customHeight="1">
      <c r="B22" s="161" t="str">
        <f>IF(Info!D34,"Abdominal sf","PL Abdominal")</f>
        <v>Abdominal sf</v>
      </c>
      <c r="C22" s="116"/>
      <c r="D22" s="116"/>
      <c r="E22" s="122"/>
      <c r="F22" s="110"/>
      <c r="G22" s="85">
        <v>15</v>
      </c>
      <c r="H22" s="85">
        <v>15.5</v>
      </c>
      <c r="I22" s="85">
        <v>15.5</v>
      </c>
      <c r="J22" s="134"/>
      <c r="K22" s="162">
        <f t="shared" si="5"/>
        <v>3.2786885245901641E-2</v>
      </c>
      <c r="L22" s="163" t="str">
        <f t="shared" si="6"/>
        <v>No</v>
      </c>
      <c r="M22" s="134"/>
      <c r="N22" s="164">
        <f t="shared" si="2"/>
        <v>15.5</v>
      </c>
      <c r="O22" s="154"/>
      <c r="P22" s="154"/>
      <c r="Q22" s="155"/>
      <c r="R22" s="155" t="str">
        <f t="shared" si="3"/>
        <v>Abdominal sf</v>
      </c>
      <c r="S22" s="165"/>
      <c r="T22" s="165"/>
      <c r="U22" s="180">
        <f t="shared" si="4"/>
        <v>15.5</v>
      </c>
      <c r="V22" s="143" t="s">
        <v>27</v>
      </c>
      <c r="W22" s="32">
        <f>1/7.78*(+U22*((170.18/U$14)^1)-25.4)</f>
        <v>-1.2992884020714575</v>
      </c>
      <c r="X22" s="181"/>
      <c r="Y22" s="143"/>
      <c r="Z22" s="145"/>
      <c r="AA22" s="145"/>
    </row>
    <row r="23" spans="1:27" ht="18" customHeight="1">
      <c r="B23" s="161" t="str">
        <f>IF(Info!D34,"Thigh sf","PL Muslo")</f>
        <v>Thigh sf</v>
      </c>
      <c r="C23" s="116"/>
      <c r="D23" s="116"/>
      <c r="E23" s="122"/>
      <c r="F23" s="110"/>
      <c r="G23" s="85">
        <v>13.5</v>
      </c>
      <c r="H23" s="85">
        <v>13.5</v>
      </c>
      <c r="I23" s="85"/>
      <c r="J23" s="134"/>
      <c r="K23" s="182">
        <f t="shared" si="5"/>
        <v>0</v>
      </c>
      <c r="L23" s="163" t="str">
        <f t="shared" si="6"/>
        <v>No</v>
      </c>
      <c r="M23" s="134"/>
      <c r="N23" s="164">
        <f t="shared" si="2"/>
        <v>13.5</v>
      </c>
      <c r="O23" s="154"/>
      <c r="P23" s="154"/>
      <c r="Q23" s="155"/>
      <c r="R23" s="155" t="str">
        <f t="shared" si="3"/>
        <v>Thigh sf</v>
      </c>
      <c r="S23" s="165"/>
      <c r="T23" s="165"/>
      <c r="U23" s="180">
        <f t="shared" si="4"/>
        <v>13.5</v>
      </c>
      <c r="V23" s="143" t="s">
        <v>27</v>
      </c>
      <c r="W23" s="32">
        <f>1/8.33*(+U23*((170.18/U$14)^1)-27)</f>
        <v>-1.64244480400856</v>
      </c>
      <c r="X23" s="181"/>
      <c r="Y23" s="143"/>
      <c r="Z23" s="145"/>
      <c r="AA23" s="145"/>
    </row>
    <row r="24" spans="1:27" ht="18" customHeight="1" thickBot="1">
      <c r="B24" s="183" t="str">
        <f>IF(Info!D34,"Calf sf","PL Pierna")</f>
        <v>Calf sf</v>
      </c>
      <c r="C24" s="184"/>
      <c r="D24" s="184"/>
      <c r="E24" s="185"/>
      <c r="F24" s="186"/>
      <c r="G24" s="86">
        <v>6</v>
      </c>
      <c r="H24" s="86">
        <v>6</v>
      </c>
      <c r="I24" s="86"/>
      <c r="J24" s="187"/>
      <c r="K24" s="182">
        <f t="shared" si="5"/>
        <v>0</v>
      </c>
      <c r="L24" s="188" t="str">
        <f t="shared" si="6"/>
        <v>No</v>
      </c>
      <c r="M24" s="187"/>
      <c r="N24" s="189">
        <f t="shared" si="2"/>
        <v>6</v>
      </c>
      <c r="O24" s="154"/>
      <c r="P24" s="154"/>
      <c r="Q24" s="155"/>
      <c r="R24" s="168" t="str">
        <f t="shared" si="3"/>
        <v>Calf sf</v>
      </c>
      <c r="S24" s="169"/>
      <c r="T24" s="169"/>
      <c r="U24" s="170">
        <f t="shared" si="4"/>
        <v>6</v>
      </c>
      <c r="V24" s="173" t="s">
        <v>27</v>
      </c>
      <c r="W24" s="33">
        <f>1/4.67*(+U24*((170.18/U$14)^1)-16)</f>
        <v>-2.1586072060329577</v>
      </c>
      <c r="X24" s="172"/>
      <c r="Y24" s="173"/>
      <c r="Z24" s="174"/>
      <c r="AA24" s="145"/>
    </row>
    <row r="25" spans="1:27" ht="18" customHeight="1">
      <c r="B25" s="161" t="str">
        <f>IF(Info!D34,"Arm girth relaxed","PR Brazo relajado")</f>
        <v>Arm girth relaxed</v>
      </c>
      <c r="C25" s="116"/>
      <c r="D25" s="116"/>
      <c r="E25" s="122"/>
      <c r="F25" s="110"/>
      <c r="G25" s="85">
        <v>36.5</v>
      </c>
      <c r="H25" s="85">
        <v>36.5</v>
      </c>
      <c r="I25" s="85"/>
      <c r="J25" s="134"/>
      <c r="K25" s="151">
        <f t="shared" si="5"/>
        <v>0</v>
      </c>
      <c r="L25" s="163" t="str">
        <f>IF(ABS(K25)&gt;1%,"Yes","No")</f>
        <v>No</v>
      </c>
      <c r="M25" s="134"/>
      <c r="N25" s="164">
        <f t="shared" si="2"/>
        <v>36.5</v>
      </c>
      <c r="O25" s="154"/>
      <c r="P25" s="154"/>
      <c r="Q25" s="155"/>
      <c r="R25" s="155" t="str">
        <f t="shared" si="3"/>
        <v>Arm girth relaxed</v>
      </c>
      <c r="S25" s="165"/>
      <c r="T25" s="165"/>
      <c r="U25" s="180">
        <f t="shared" si="4"/>
        <v>36.5</v>
      </c>
      <c r="V25" s="143" t="s">
        <v>26</v>
      </c>
      <c r="W25" s="32">
        <f>1/2.33*(+U25*((170.18/U$14)^1)-26.89)</f>
        <v>3.9137774460409283</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34.457964775166637</v>
      </c>
      <c r="V26" s="143" t="s">
        <v>26</v>
      </c>
      <c r="W26" s="32">
        <f>1/1.91*(+U26*((170.18/U$14)^1)-22.05)</f>
        <v>6.2536806903038435</v>
      </c>
      <c r="X26" s="181"/>
      <c r="Y26" s="143"/>
      <c r="Z26" s="145"/>
      <c r="AA26" s="145"/>
    </row>
    <row r="27" spans="1:27" ht="18" customHeight="1">
      <c r="B27" s="199" t="str">
        <f>IF(Info!D34,"Arm girth flexed and tensed","PR Brazo flexionado y contraído")</f>
        <v>Arm girth flexed and tensed</v>
      </c>
      <c r="C27" s="116"/>
      <c r="D27" s="116"/>
      <c r="E27" s="122"/>
      <c r="F27" s="110"/>
      <c r="G27" s="85">
        <v>39.75</v>
      </c>
      <c r="H27" s="85">
        <v>39.799999999999997</v>
      </c>
      <c r="I27" s="85"/>
      <c r="J27" s="134"/>
      <c r="K27" s="182">
        <f t="shared" si="5"/>
        <v>1.2570710245128137E-3</v>
      </c>
      <c r="L27" s="163" t="str">
        <f>IF(ABS(K27)&gt;1%,"Yes","No")</f>
        <v>No</v>
      </c>
      <c r="M27" s="134"/>
      <c r="N27" s="164">
        <f>IF(I27=0,AVERAGE(G27,H27),MEDIAN(G27,H27,I27))</f>
        <v>39.774999999999999</v>
      </c>
      <c r="O27" s="154"/>
      <c r="P27" s="154"/>
      <c r="Q27" s="155"/>
      <c r="R27" s="155" t="str">
        <f t="shared" si="3"/>
        <v>Arm girth flexed and tensed</v>
      </c>
      <c r="S27" s="165"/>
      <c r="T27" s="165"/>
      <c r="U27" s="180">
        <f>+N27</f>
        <v>39.774999999999999</v>
      </c>
      <c r="V27" s="143" t="s">
        <v>26</v>
      </c>
      <c r="W27" s="32">
        <f>1/2.37*(+U27*((170.18/U$14)^1)-29.41)</f>
        <v>4.1477025622209984</v>
      </c>
      <c r="X27" s="181"/>
      <c r="Y27" s="143"/>
      <c r="Z27" s="145"/>
      <c r="AA27" s="145"/>
    </row>
    <row r="28" spans="1:27" ht="18" customHeight="1">
      <c r="B28" s="200" t="str">
        <f>IF(Info!D34,"Waist girth","PR Cintura")</f>
        <v>Waist girth</v>
      </c>
      <c r="C28" s="116"/>
      <c r="D28" s="116"/>
      <c r="E28" s="122"/>
      <c r="F28" s="110"/>
      <c r="G28" s="85">
        <v>80.5</v>
      </c>
      <c r="H28" s="85">
        <v>80.5</v>
      </c>
      <c r="I28" s="85"/>
      <c r="J28" s="134"/>
      <c r="K28" s="182">
        <f t="shared" si="5"/>
        <v>0</v>
      </c>
      <c r="L28" s="163" t="str">
        <f>IF(ABS(K28)&gt;1%,"Yes","No")</f>
        <v>No</v>
      </c>
      <c r="M28" s="134"/>
      <c r="N28" s="164">
        <f>IF(I28=0,AVERAGE(G28,H28),MEDIAN(G28,H28,I28))</f>
        <v>80.5</v>
      </c>
      <c r="O28" s="154"/>
      <c r="P28" s="154"/>
      <c r="Q28" s="155"/>
      <c r="R28" s="155" t="str">
        <f t="shared" si="3"/>
        <v>Waist girth</v>
      </c>
      <c r="S28" s="165"/>
      <c r="T28" s="165"/>
      <c r="U28" s="180">
        <f>+N28</f>
        <v>80.5</v>
      </c>
      <c r="V28" s="143" t="s">
        <v>26</v>
      </c>
      <c r="W28" s="32">
        <f>1/4.45*(+U28*((170.18/U$14)^1)-71.91)</f>
        <v>1.6870411985018763</v>
      </c>
      <c r="X28" s="181"/>
      <c r="Y28" s="143"/>
      <c r="Z28" s="145"/>
      <c r="AA28" s="145"/>
    </row>
    <row r="29" spans="1:27" ht="18" customHeight="1">
      <c r="B29" s="200" t="str">
        <f>IF(Info!D34,"Hips girth","PR Caderas")</f>
        <v>Hips girth</v>
      </c>
      <c r="C29" s="116"/>
      <c r="D29" s="116"/>
      <c r="E29" s="122"/>
      <c r="F29" s="110"/>
      <c r="G29" s="85">
        <v>98.5</v>
      </c>
      <c r="H29" s="85">
        <v>98.7</v>
      </c>
      <c r="I29" s="85">
        <v>98.6</v>
      </c>
      <c r="J29" s="134"/>
      <c r="K29" s="182">
        <f t="shared" si="5"/>
        <v>2.0283975659229499E-3</v>
      </c>
      <c r="L29" s="163" t="str">
        <f>IF(ABS(K29)&gt;1%,"Yes","No")</f>
        <v>No</v>
      </c>
      <c r="M29" s="134"/>
      <c r="N29" s="164">
        <f>IF(I29=0,AVERAGE(G29,H29),MEDIAN(G29,H29,I29))</f>
        <v>98.6</v>
      </c>
      <c r="O29" s="154"/>
      <c r="P29" s="154"/>
      <c r="Q29" s="155"/>
      <c r="R29" s="155" t="str">
        <f t="shared" si="3"/>
        <v>Hips girth</v>
      </c>
      <c r="S29" s="165"/>
      <c r="T29" s="165"/>
      <c r="U29" s="180">
        <f>+N29</f>
        <v>98.6</v>
      </c>
      <c r="V29" s="143" t="s">
        <v>26</v>
      </c>
      <c r="W29" s="32">
        <f>1/5.58*(+U29*((170.18/U$14)^1)-94.67)</f>
        <v>0.4666490052464794</v>
      </c>
      <c r="X29" s="181"/>
      <c r="Y29" s="143"/>
      <c r="Z29" s="145"/>
      <c r="AA29" s="145"/>
    </row>
    <row r="30" spans="1:27" ht="18" customHeight="1">
      <c r="B30" s="200" t="str">
        <f>IF(Info!D34,"Thigh middle girth","PR Muslo medio")</f>
        <v>Thigh middle girth</v>
      </c>
      <c r="C30" s="116"/>
      <c r="D30" s="116"/>
      <c r="E30" s="122"/>
      <c r="F30" s="110"/>
      <c r="G30" s="85">
        <v>59.5</v>
      </c>
      <c r="H30" s="85">
        <v>59.5</v>
      </c>
      <c r="I30" s="85"/>
      <c r="J30" s="134"/>
      <c r="K30" s="182">
        <f>+(H30-G30)/(AVERAGE(G30:H30))</f>
        <v>0</v>
      </c>
      <c r="L30" s="163" t="str">
        <f>IF(ABS(K30)&gt;1%,"Yes","No")</f>
        <v>No</v>
      </c>
      <c r="M30" s="134"/>
      <c r="N30" s="164">
        <f>IF(I30=0,AVERAGE(G30,H30),MEDIAN(G30,H30,I30))</f>
        <v>59.5</v>
      </c>
      <c r="O30" s="154"/>
      <c r="P30" s="154"/>
      <c r="Q30" s="155"/>
      <c r="R30" s="155" t="str">
        <f t="shared" si="3"/>
        <v>Thigh middle girth</v>
      </c>
      <c r="S30" s="165"/>
      <c r="T30" s="165"/>
      <c r="U30" s="180">
        <f>+N30</f>
        <v>59.5</v>
      </c>
      <c r="V30" s="143" t="s">
        <v>26</v>
      </c>
      <c r="W30" s="32">
        <f>1/4.56*(+U30*((170.18/U$14)^1)-53.2)</f>
        <v>1.206089499110095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55.258849917653777</v>
      </c>
      <c r="V31" s="143" t="s">
        <v>26</v>
      </c>
      <c r="W31" s="32">
        <f>1/3.59*(+U31*((170.18/U$14)^1)-47.34)</f>
        <v>1.998790648720391</v>
      </c>
      <c r="X31" s="181"/>
      <c r="Y31" s="143"/>
      <c r="Z31" s="145"/>
      <c r="AA31" s="145"/>
    </row>
    <row r="32" spans="1:27" ht="18" customHeight="1">
      <c r="B32" s="161" t="str">
        <f>IF(Info!D34,"Calf girth","PR Pierna")</f>
        <v>Calf girth</v>
      </c>
      <c r="C32" s="116"/>
      <c r="D32" s="116"/>
      <c r="E32" s="122"/>
      <c r="F32" s="110"/>
      <c r="G32" s="85">
        <v>38.5</v>
      </c>
      <c r="H32" s="85">
        <v>38.5</v>
      </c>
      <c r="I32" s="85"/>
      <c r="J32" s="134"/>
      <c r="K32" s="182">
        <f t="shared" si="5"/>
        <v>0</v>
      </c>
      <c r="L32" s="163" t="str">
        <f>IF(ABS(K32)&gt;1%,"Yes","No")</f>
        <v>No</v>
      </c>
      <c r="M32" s="134"/>
      <c r="N32" s="164">
        <f>IF(I32=0,AVERAGE(G32,H32),MEDIAN(G32,H32,I32))</f>
        <v>38.5</v>
      </c>
      <c r="O32" s="154"/>
      <c r="P32" s="154"/>
      <c r="Q32" s="155"/>
      <c r="R32" s="155" t="str">
        <f t="shared" si="3"/>
        <v>Calf girth</v>
      </c>
      <c r="S32" s="165"/>
      <c r="T32" s="165"/>
      <c r="U32" s="201">
        <f>+N32</f>
        <v>38.5</v>
      </c>
      <c r="V32" s="143" t="s">
        <v>26</v>
      </c>
      <c r="W32" s="32">
        <f>1/2.3*(+U32*((170.18/U$14)^1)-35.25)</f>
        <v>1.1879143037177065</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36.615044407846128</v>
      </c>
      <c r="V33" s="173" t="s">
        <v>26</v>
      </c>
      <c r="W33" s="33">
        <f>1/1.97*(+U33*((170.18/U$14)^1)-30.22)</f>
        <v>2.9962429407114084</v>
      </c>
      <c r="X33" s="172"/>
      <c r="Y33" s="173"/>
      <c r="Z33" s="174"/>
      <c r="AA33" s="145"/>
    </row>
    <row r="34" spans="1:27" ht="18" customHeight="1" thickBot="1">
      <c r="B34" s="161" t="str">
        <f>IF(Info!D34,"Humerus breadth","D Húmero")</f>
        <v>Humerus breadth</v>
      </c>
      <c r="C34" s="116"/>
      <c r="D34" s="116"/>
      <c r="E34" s="122"/>
      <c r="F34" s="110"/>
      <c r="G34" s="87">
        <v>7.2</v>
      </c>
      <c r="H34" s="87">
        <v>7.2</v>
      </c>
      <c r="I34" s="87"/>
      <c r="J34" s="134"/>
      <c r="K34" s="151">
        <f t="shared" si="5"/>
        <v>0</v>
      </c>
      <c r="L34" s="209" t="str">
        <f>IF(ABS(K34)&gt;1%,"Yes","No")</f>
        <v>No</v>
      </c>
      <c r="M34" s="134"/>
      <c r="N34" s="210">
        <f>IF(I34=0,AVERAGE(G34,H34),MEDIAN(G34,H34,I34))</f>
        <v>7.2</v>
      </c>
      <c r="O34" s="154"/>
      <c r="P34" s="154"/>
      <c r="Q34" s="155"/>
      <c r="R34" s="155" t="str">
        <f t="shared" si="3"/>
        <v>Humerus breadth</v>
      </c>
      <c r="S34" s="165"/>
      <c r="T34" s="165"/>
      <c r="U34" s="180">
        <f>+N34</f>
        <v>7.2</v>
      </c>
      <c r="V34" s="143" t="s">
        <v>26</v>
      </c>
      <c r="W34" s="32">
        <f>1/0.35*(+U34*((170.18/U$14)^1)-6.48)</f>
        <v>1.7804720496894408</v>
      </c>
      <c r="X34" s="181"/>
      <c r="Y34" s="143"/>
      <c r="Z34" s="145"/>
      <c r="AA34" s="145"/>
    </row>
    <row r="35" spans="1:27" ht="18" customHeight="1">
      <c r="B35" s="161" t="str">
        <f>IF(Info!D34,"Bi-styloid breadth","D Biestiloideo")</f>
        <v>Bi-styloid breadth</v>
      </c>
      <c r="C35" s="116"/>
      <c r="D35" s="116"/>
      <c r="E35" s="122"/>
      <c r="F35" s="110"/>
      <c r="G35" s="91">
        <v>5.5</v>
      </c>
      <c r="H35" s="91">
        <v>5.5</v>
      </c>
      <c r="I35" s="91"/>
      <c r="J35" s="134"/>
      <c r="K35" s="151">
        <f>+(H35-G35)/(AVERAGE(G35:H35))</f>
        <v>0</v>
      </c>
      <c r="L35" s="209" t="str">
        <f>IF(ABS(K35)&gt;1%,"Yes","No")</f>
        <v>No</v>
      </c>
      <c r="M35" s="134"/>
      <c r="N35" s="210">
        <f>IF(I35=0,AVERAGE(G35,H35),MEDIAN(G35,H35,I35))</f>
        <v>5.5</v>
      </c>
      <c r="O35" s="154"/>
      <c r="P35" s="154"/>
      <c r="Q35" s="155"/>
      <c r="R35" s="155" t="str">
        <f t="shared" si="3"/>
        <v>Bi-styloid breadth</v>
      </c>
      <c r="S35" s="165"/>
      <c r="T35" s="165"/>
      <c r="U35" s="180">
        <f>+N35</f>
        <v>5.5</v>
      </c>
      <c r="V35" s="143" t="s">
        <v>26</v>
      </c>
      <c r="W35" s="32">
        <f>1/0.28*(+U35*((170.18/U$14)^1)-5.21)</f>
        <v>0.7715320910973108</v>
      </c>
      <c r="X35" s="181"/>
      <c r="Y35" s="143"/>
      <c r="Z35" s="145"/>
      <c r="AA35" s="145"/>
    </row>
    <row r="36" spans="1:27" ht="18" customHeight="1" thickBot="1">
      <c r="B36" s="183" t="str">
        <f>IF(Info!D34,"Femur breadth","D Fémur")</f>
        <v>Femur breadth</v>
      </c>
      <c r="C36" s="184"/>
      <c r="D36" s="184"/>
      <c r="E36" s="185"/>
      <c r="F36" s="186"/>
      <c r="G36" s="86">
        <v>9.6</v>
      </c>
      <c r="H36" s="86">
        <v>9.6</v>
      </c>
      <c r="I36" s="86"/>
      <c r="J36" s="187"/>
      <c r="K36" s="182">
        <f>+(H36-G36)/(AVERAGE(G36:H36))</f>
        <v>0</v>
      </c>
      <c r="L36" s="188" t="str">
        <f>IF(ABS(K36)&gt;1%,"Yes","No")</f>
        <v>No</v>
      </c>
      <c r="M36" s="187"/>
      <c r="N36" s="189">
        <f>IF(I36=0,AVERAGE(G36,H36),MEDIAN(G36,H36,I36))</f>
        <v>9.6</v>
      </c>
      <c r="O36" s="154"/>
      <c r="P36" s="154"/>
      <c r="Q36" s="155"/>
      <c r="R36" s="211" t="str">
        <f t="shared" si="3"/>
        <v>Femur breadth</v>
      </c>
      <c r="S36" s="212"/>
      <c r="T36" s="212"/>
      <c r="U36" s="213">
        <f>+N36</f>
        <v>9.6</v>
      </c>
      <c r="V36" s="214" t="s">
        <v>26</v>
      </c>
      <c r="W36" s="215">
        <f>1/0.48*(+U36*((170.18/U$14)^1)-9.52)</f>
        <v>-0.1023188405797071</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2.8550781676709036</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7.3070999999999984</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1.030849180641944</v>
      </c>
      <c r="V42" s="224">
        <f>U14/(U13^(1/3))</f>
        <v>40.304209893395125</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26.347406007141355</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0.81643002028397571</v>
      </c>
      <c r="V46" s="126"/>
      <c r="W46" s="233"/>
      <c r="X46" s="201"/>
      <c r="Y46" s="126"/>
      <c r="Z46" s="115"/>
      <c r="AA46" s="115"/>
    </row>
    <row r="47" spans="1:27" s="109" customFormat="1">
      <c r="A47" s="234"/>
      <c r="B47" s="223" t="str">
        <f t="shared" si="7"/>
        <v>Iliac crest sf</v>
      </c>
      <c r="C47" s="222"/>
      <c r="D47" s="223">
        <f t="shared" si="8"/>
        <v>1</v>
      </c>
      <c r="E47" s="223">
        <f t="shared" si="9"/>
        <v>0</v>
      </c>
      <c r="F47" s="223">
        <f t="shared" si="10"/>
        <v>0</v>
      </c>
      <c r="G47" s="223">
        <f t="shared" si="11"/>
        <v>0</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63.5</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1</v>
      </c>
      <c r="H49" s="222">
        <f t="shared" si="12"/>
        <v>0</v>
      </c>
      <c r="I49" s="224">
        <f>COUNTIF(G22,"")</f>
        <v>0</v>
      </c>
      <c r="J49" s="224">
        <f t="shared" si="13"/>
        <v>0</v>
      </c>
      <c r="K49" s="224"/>
      <c r="L49" s="224"/>
      <c r="M49" s="224"/>
      <c r="N49" s="224"/>
      <c r="Q49" s="236"/>
      <c r="R49" s="236"/>
      <c r="S49" s="226" t="str">
        <f>'3'!S49</f>
        <v>Sum of 8 skinfolds</v>
      </c>
      <c r="T49" s="104"/>
      <c r="U49" s="235">
        <f>SUM(U17:U24)</f>
        <v>88.5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10.1875</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12.515000000000001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9.2538499999999999</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0</v>
      </c>
      <c r="G54" s="223">
        <f t="shared" si="11"/>
        <v>0</v>
      </c>
      <c r="H54" s="222">
        <f t="shared" si="12"/>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49.878970373705634</v>
      </c>
      <c r="V54" s="239" t="str">
        <f>'3'!V54</f>
        <v>(Lee)</v>
      </c>
      <c r="X54" s="235"/>
      <c r="Y54" s="227"/>
      <c r="Z54" s="145"/>
      <c r="AA54" s="145"/>
    </row>
    <row r="55" spans="1:27">
      <c r="B55" s="223" t="str">
        <f t="shared" si="7"/>
        <v>Waist girth</v>
      </c>
      <c r="C55" s="222"/>
      <c r="D55" s="223">
        <f t="shared" si="8"/>
        <v>1</v>
      </c>
      <c r="E55" s="223">
        <f t="shared" si="9"/>
        <v>0</v>
      </c>
      <c r="F55" s="223">
        <f t="shared" si="10"/>
        <v>0</v>
      </c>
      <c r="G55" s="223">
        <f t="shared" si="11"/>
        <v>0</v>
      </c>
      <c r="H55" s="222">
        <f t="shared" si="12"/>
        <v>0</v>
      </c>
      <c r="I55" s="224">
        <f t="shared" si="13"/>
        <v>0</v>
      </c>
      <c r="J55" s="224">
        <f t="shared" si="13"/>
        <v>0</v>
      </c>
      <c r="K55" s="224"/>
      <c r="L55" s="224">
        <f>COUNTIF(L13:L36,"yes")</f>
        <v>0</v>
      </c>
      <c r="M55" s="224"/>
      <c r="N55" s="224"/>
      <c r="Q55" s="113"/>
      <c r="R55" s="113"/>
      <c r="U55" s="35">
        <f>(U14/100*((0.0064*(U26^2))+(0.0032*(U31^2))+(0.0015*(U33^2)))+(2.56*IF(U8=1,1,0))+(0.136*(U10-U11)/365.25))*100/U13</f>
        <v>50.128097622331246</v>
      </c>
      <c r="V55" s="239" t="str">
        <f>'3'!V55</f>
        <v>(Poortmans)</v>
      </c>
      <c r="X55" s="240"/>
      <c r="Y55" s="227"/>
      <c r="Z55" s="145"/>
      <c r="AA55" s="145"/>
    </row>
    <row r="56" spans="1:27">
      <c r="B56" s="223" t="str">
        <f t="shared" si="7"/>
        <v>Hips girth</v>
      </c>
      <c r="C56" s="222"/>
      <c r="D56" s="223">
        <f t="shared" si="8"/>
        <v>0</v>
      </c>
      <c r="E56" s="223">
        <f t="shared" si="9"/>
        <v>0</v>
      </c>
      <c r="F56" s="223">
        <f t="shared" si="10"/>
        <v>0</v>
      </c>
      <c r="G56" s="223">
        <f t="shared" si="11"/>
        <v>1</v>
      </c>
      <c r="H56" s="222">
        <f t="shared" si="12"/>
        <v>0</v>
      </c>
      <c r="I56" s="224">
        <f t="shared" si="13"/>
        <v>0</v>
      </c>
      <c r="J56" s="224">
        <f t="shared" si="13"/>
        <v>0</v>
      </c>
      <c r="K56" s="224"/>
      <c r="L56" s="224"/>
      <c r="M56" s="224"/>
      <c r="N56" s="224"/>
      <c r="Q56" s="113"/>
      <c r="R56" s="113"/>
      <c r="S56" s="226" t="str">
        <f>'3'!S56</f>
        <v>Bone percentage</v>
      </c>
      <c r="U56" s="35">
        <f>(3.02*(((U14/100)^2)*(U35/100)*(U36/100)*400)^0.712)*100/U13</f>
        <v>14.258066124369597</v>
      </c>
      <c r="V56" s="239" t="str">
        <f>'3'!V56</f>
        <v>(Rocha)</v>
      </c>
      <c r="W56" s="241"/>
      <c r="X56" s="233"/>
      <c r="Y56" s="227"/>
      <c r="Z56" s="145"/>
      <c r="AA56" s="145"/>
    </row>
    <row r="57" spans="1:27">
      <c r="B57" s="223" t="str">
        <f t="shared" si="7"/>
        <v>Thigh middle girth</v>
      </c>
      <c r="C57" s="222"/>
      <c r="D57" s="223">
        <f t="shared" si="8"/>
        <v>1</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18</v>
      </c>
      <c r="E64" s="223">
        <f t="shared" si="15"/>
        <v>0</v>
      </c>
      <c r="F64" s="223">
        <f t="shared" si="15"/>
        <v>1</v>
      </c>
      <c r="G64" s="223">
        <f t="shared" si="15"/>
        <v>2</v>
      </c>
      <c r="H64" s="223">
        <f t="shared" si="15"/>
        <v>0</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78.400000000000006</v>
      </c>
      <c r="H67" s="245">
        <f t="shared" si="16"/>
        <v>78.400000000000006</v>
      </c>
      <c r="I67" s="245">
        <f t="shared" si="16"/>
        <v>0</v>
      </c>
      <c r="J67" s="224">
        <f>ABS(G67-H67)</f>
        <v>0</v>
      </c>
      <c r="K67" s="224">
        <f>ABS(I67-G67)</f>
        <v>78.400000000000006</v>
      </c>
      <c r="L67" s="224">
        <f>ABS(H67-I67)</f>
        <v>78.400000000000006</v>
      </c>
      <c r="M67" s="246">
        <f>IF(J67=MIN(J67:L67),G67,IF(K67=MIN(J67:L67),G67,H67))</f>
        <v>78.400000000000006</v>
      </c>
      <c r="N67" s="246">
        <f>IF(J67=MIN(J67:L67),H67,IF(K67=MIN(J67:L67),I67,I67))</f>
        <v>78.400000000000006</v>
      </c>
    </row>
    <row r="68" spans="1:22" s="247" customFormat="1">
      <c r="B68" s="269" t="str">
        <f t="shared" ref="B68:B79" si="17">B14</f>
        <v>Stature</v>
      </c>
      <c r="C68" s="269"/>
      <c r="D68" s="269"/>
      <c r="E68" s="269"/>
      <c r="F68" s="269"/>
      <c r="G68" s="245">
        <f t="shared" si="16"/>
        <v>172.5</v>
      </c>
      <c r="H68" s="245">
        <f t="shared" si="16"/>
        <v>172.5</v>
      </c>
      <c r="I68" s="245">
        <f t="shared" si="16"/>
        <v>0</v>
      </c>
      <c r="J68" s="224">
        <f t="shared" ref="J68:J87" si="18">ABS(G68-H68)</f>
        <v>0</v>
      </c>
      <c r="K68" s="224">
        <f t="shared" ref="K68:K87" si="19">ABS(I68-G68)</f>
        <v>172.5</v>
      </c>
      <c r="L68" s="224">
        <f t="shared" ref="L68:L87" si="20">ABS(H68-I68)</f>
        <v>172.5</v>
      </c>
      <c r="M68" s="246">
        <f t="shared" ref="M68:M87" si="21">IF(J68=MIN(J68:L68),G68,IF(K68=MIN(J68:L68),G68,H68))</f>
        <v>172.5</v>
      </c>
      <c r="N68" s="246">
        <f t="shared" ref="N68:N87" si="22">IF(J68=MIN(J68:L68),H68,IF(K68=MIN(J68:L68),I68,I68))</f>
        <v>172.5</v>
      </c>
    </row>
    <row r="69" spans="1:22" s="247" customFormat="1">
      <c r="B69" s="269" t="str">
        <f t="shared" si="17"/>
        <v>Sitting height</v>
      </c>
      <c r="C69" s="269"/>
      <c r="D69" s="269"/>
      <c r="E69" s="269"/>
      <c r="F69" s="269"/>
      <c r="G69" s="245">
        <f t="shared" si="16"/>
        <v>91.5</v>
      </c>
      <c r="H69" s="245">
        <f t="shared" si="16"/>
        <v>91.5</v>
      </c>
      <c r="I69" s="245">
        <f t="shared" si="16"/>
        <v>0</v>
      </c>
      <c r="J69" s="224">
        <f t="shared" si="18"/>
        <v>0</v>
      </c>
      <c r="K69" s="224">
        <f t="shared" si="19"/>
        <v>91.5</v>
      </c>
      <c r="L69" s="224">
        <f t="shared" si="20"/>
        <v>91.5</v>
      </c>
      <c r="M69" s="246">
        <f t="shared" si="21"/>
        <v>91.5</v>
      </c>
      <c r="N69" s="246">
        <f t="shared" si="22"/>
        <v>91.5</v>
      </c>
    </row>
    <row r="70" spans="1:22" s="247" customFormat="1">
      <c r="B70" s="269" t="str">
        <f t="shared" si="17"/>
        <v>Arm Span</v>
      </c>
      <c r="C70" s="269"/>
      <c r="D70" s="269"/>
      <c r="E70" s="269"/>
      <c r="F70" s="269"/>
      <c r="G70" s="245">
        <f t="shared" si="16"/>
        <v>171</v>
      </c>
      <c r="H70" s="245">
        <f t="shared" si="16"/>
        <v>171</v>
      </c>
      <c r="I70" s="245">
        <f t="shared" si="16"/>
        <v>0</v>
      </c>
      <c r="J70" s="224">
        <f t="shared" si="18"/>
        <v>0</v>
      </c>
      <c r="K70" s="224">
        <f t="shared" si="19"/>
        <v>171</v>
      </c>
      <c r="L70" s="224">
        <f t="shared" si="20"/>
        <v>171</v>
      </c>
      <c r="M70" s="246">
        <f t="shared" si="21"/>
        <v>171</v>
      </c>
      <c r="N70" s="246">
        <f t="shared" si="22"/>
        <v>171</v>
      </c>
    </row>
    <row r="71" spans="1:22" s="247" customFormat="1">
      <c r="B71" s="269" t="str">
        <f t="shared" si="17"/>
        <v>Triceps sf</v>
      </c>
      <c r="C71" s="269"/>
      <c r="D71" s="269"/>
      <c r="E71" s="269"/>
      <c r="F71" s="269"/>
      <c r="G71" s="245">
        <f t="shared" si="16"/>
        <v>6.5</v>
      </c>
      <c r="H71" s="245">
        <f t="shared" si="16"/>
        <v>6.5</v>
      </c>
      <c r="I71" s="245">
        <f t="shared" si="16"/>
        <v>0</v>
      </c>
      <c r="J71" s="224">
        <f t="shared" si="18"/>
        <v>0</v>
      </c>
      <c r="K71" s="224">
        <f t="shared" si="19"/>
        <v>6.5</v>
      </c>
      <c r="L71" s="224">
        <f t="shared" si="20"/>
        <v>6.5</v>
      </c>
      <c r="M71" s="246">
        <f t="shared" si="21"/>
        <v>6.5</v>
      </c>
      <c r="N71" s="246">
        <f t="shared" si="22"/>
        <v>6.5</v>
      </c>
    </row>
    <row r="72" spans="1:22" s="247" customFormat="1">
      <c r="B72" s="269" t="str">
        <f t="shared" si="17"/>
        <v>Subscapular sf</v>
      </c>
      <c r="C72" s="269"/>
      <c r="D72" s="269"/>
      <c r="E72" s="269"/>
      <c r="F72" s="269"/>
      <c r="G72" s="245">
        <f t="shared" si="16"/>
        <v>12</v>
      </c>
      <c r="H72" s="245">
        <f t="shared" si="16"/>
        <v>12</v>
      </c>
      <c r="I72" s="245">
        <f t="shared" si="16"/>
        <v>0</v>
      </c>
      <c r="J72" s="224">
        <f t="shared" si="18"/>
        <v>0</v>
      </c>
      <c r="K72" s="224">
        <f t="shared" si="19"/>
        <v>12</v>
      </c>
      <c r="L72" s="224">
        <f t="shared" si="20"/>
        <v>12</v>
      </c>
      <c r="M72" s="246">
        <f t="shared" si="21"/>
        <v>12</v>
      </c>
      <c r="N72" s="246">
        <f t="shared" si="22"/>
        <v>12</v>
      </c>
    </row>
    <row r="73" spans="1:22" s="247" customFormat="1">
      <c r="B73" s="269" t="str">
        <f t="shared" si="17"/>
        <v>Biceps sf</v>
      </c>
      <c r="C73" s="269"/>
      <c r="D73" s="269"/>
      <c r="E73" s="269"/>
      <c r="F73" s="269"/>
      <c r="G73" s="245">
        <f t="shared" si="16"/>
        <v>3</v>
      </c>
      <c r="H73" s="245">
        <f t="shared" si="16"/>
        <v>3</v>
      </c>
      <c r="I73" s="245">
        <f t="shared" si="16"/>
        <v>0</v>
      </c>
      <c r="J73" s="224">
        <f t="shared" si="18"/>
        <v>0</v>
      </c>
      <c r="K73" s="224">
        <f t="shared" si="19"/>
        <v>3</v>
      </c>
      <c r="L73" s="224">
        <f t="shared" si="20"/>
        <v>3</v>
      </c>
      <c r="M73" s="246">
        <f t="shared" si="21"/>
        <v>3</v>
      </c>
      <c r="N73" s="246">
        <f t="shared" si="22"/>
        <v>3</v>
      </c>
    </row>
    <row r="74" spans="1:22" s="247" customFormat="1">
      <c r="B74" s="269" t="str">
        <f t="shared" si="17"/>
        <v>Iliac crest sf</v>
      </c>
      <c r="C74" s="269"/>
      <c r="D74" s="269"/>
      <c r="E74" s="269"/>
      <c r="F74" s="269"/>
      <c r="G74" s="245">
        <f t="shared" si="16"/>
        <v>22</v>
      </c>
      <c r="H74" s="245">
        <f t="shared" si="16"/>
        <v>22</v>
      </c>
      <c r="I74" s="245">
        <f t="shared" si="16"/>
        <v>0</v>
      </c>
      <c r="J74" s="224">
        <f t="shared" si="18"/>
        <v>0</v>
      </c>
      <c r="K74" s="224">
        <f t="shared" si="19"/>
        <v>22</v>
      </c>
      <c r="L74" s="224">
        <f t="shared" si="20"/>
        <v>22</v>
      </c>
      <c r="M74" s="246">
        <f t="shared" si="21"/>
        <v>22</v>
      </c>
      <c r="N74" s="246">
        <f t="shared" si="22"/>
        <v>22</v>
      </c>
    </row>
    <row r="75" spans="1:22" s="247" customFormat="1">
      <c r="B75" s="269" t="str">
        <f t="shared" si="17"/>
        <v>Supraspinale sf</v>
      </c>
      <c r="C75" s="269"/>
      <c r="D75" s="269"/>
      <c r="E75" s="269"/>
      <c r="F75" s="269"/>
      <c r="G75" s="245">
        <f t="shared" si="16"/>
        <v>10</v>
      </c>
      <c r="H75" s="245">
        <f t="shared" si="16"/>
        <v>10</v>
      </c>
      <c r="I75" s="245">
        <f t="shared" si="16"/>
        <v>0</v>
      </c>
      <c r="J75" s="224">
        <f t="shared" si="18"/>
        <v>0</v>
      </c>
      <c r="K75" s="224">
        <f t="shared" si="19"/>
        <v>10</v>
      </c>
      <c r="L75" s="224">
        <f t="shared" si="20"/>
        <v>10</v>
      </c>
      <c r="M75" s="246">
        <f t="shared" si="21"/>
        <v>10</v>
      </c>
      <c r="N75" s="246">
        <f t="shared" si="22"/>
        <v>10</v>
      </c>
    </row>
    <row r="76" spans="1:22" s="247" customFormat="1">
      <c r="B76" s="269" t="str">
        <f t="shared" si="17"/>
        <v>Abdominal sf</v>
      </c>
      <c r="C76" s="269"/>
      <c r="D76" s="269"/>
      <c r="E76" s="269"/>
      <c r="F76" s="269"/>
      <c r="G76" s="245">
        <f t="shared" si="16"/>
        <v>15</v>
      </c>
      <c r="H76" s="245">
        <f t="shared" si="16"/>
        <v>15.5</v>
      </c>
      <c r="I76" s="245">
        <f t="shared" si="16"/>
        <v>15.5</v>
      </c>
      <c r="J76" s="224">
        <f t="shared" si="18"/>
        <v>0.5</v>
      </c>
      <c r="K76" s="224">
        <f t="shared" si="19"/>
        <v>0.5</v>
      </c>
      <c r="L76" s="224">
        <f t="shared" si="20"/>
        <v>0</v>
      </c>
      <c r="M76" s="246">
        <f t="shared" si="21"/>
        <v>15.5</v>
      </c>
      <c r="N76" s="246">
        <f t="shared" si="22"/>
        <v>15.5</v>
      </c>
    </row>
    <row r="77" spans="1:22" s="247" customFormat="1">
      <c r="A77" s="244"/>
      <c r="B77" s="269" t="str">
        <f t="shared" si="17"/>
        <v>Thigh sf</v>
      </c>
      <c r="C77" s="269"/>
      <c r="D77" s="269"/>
      <c r="E77" s="269"/>
      <c r="F77" s="269"/>
      <c r="G77" s="245">
        <f t="shared" si="16"/>
        <v>13.5</v>
      </c>
      <c r="H77" s="245">
        <f t="shared" si="16"/>
        <v>13.5</v>
      </c>
      <c r="I77" s="245">
        <f t="shared" si="16"/>
        <v>0</v>
      </c>
      <c r="J77" s="224">
        <f t="shared" si="18"/>
        <v>0</v>
      </c>
      <c r="K77" s="224">
        <f t="shared" si="19"/>
        <v>13.5</v>
      </c>
      <c r="L77" s="224">
        <f t="shared" si="20"/>
        <v>13.5</v>
      </c>
      <c r="M77" s="246">
        <f t="shared" si="21"/>
        <v>13.5</v>
      </c>
      <c r="N77" s="246">
        <f t="shared" si="22"/>
        <v>13.5</v>
      </c>
    </row>
    <row r="78" spans="1:22" s="247" customFormat="1">
      <c r="B78" s="269" t="str">
        <f t="shared" si="17"/>
        <v>Calf sf</v>
      </c>
      <c r="C78" s="269"/>
      <c r="D78" s="269"/>
      <c r="E78" s="269"/>
      <c r="F78" s="269"/>
      <c r="G78" s="245">
        <f t="shared" si="16"/>
        <v>6</v>
      </c>
      <c r="H78" s="245">
        <f t="shared" si="16"/>
        <v>6</v>
      </c>
      <c r="I78" s="245">
        <f t="shared" si="16"/>
        <v>0</v>
      </c>
      <c r="J78" s="224">
        <f t="shared" si="18"/>
        <v>0</v>
      </c>
      <c r="K78" s="224">
        <f t="shared" si="19"/>
        <v>6</v>
      </c>
      <c r="L78" s="224">
        <f t="shared" si="20"/>
        <v>6</v>
      </c>
      <c r="M78" s="246">
        <f t="shared" si="21"/>
        <v>6</v>
      </c>
      <c r="N78" s="246">
        <f t="shared" si="22"/>
        <v>6</v>
      </c>
    </row>
    <row r="79" spans="1:22" s="247" customFormat="1">
      <c r="B79" s="269" t="str">
        <f t="shared" si="17"/>
        <v>Arm girth relaxed</v>
      </c>
      <c r="C79" s="269"/>
      <c r="D79" s="269"/>
      <c r="E79" s="269"/>
      <c r="F79" s="269"/>
      <c r="G79" s="245">
        <f t="shared" si="16"/>
        <v>36.5</v>
      </c>
      <c r="H79" s="245">
        <f t="shared" si="16"/>
        <v>36.5</v>
      </c>
      <c r="I79" s="245">
        <f t="shared" si="16"/>
        <v>0</v>
      </c>
      <c r="J79" s="224">
        <f t="shared" si="18"/>
        <v>0</v>
      </c>
      <c r="K79" s="224">
        <f t="shared" si="19"/>
        <v>36.5</v>
      </c>
      <c r="L79" s="224">
        <f t="shared" si="20"/>
        <v>36.5</v>
      </c>
      <c r="M79" s="246">
        <f t="shared" si="21"/>
        <v>36.5</v>
      </c>
      <c r="N79" s="246">
        <f t="shared" si="22"/>
        <v>36.5</v>
      </c>
    </row>
    <row r="80" spans="1:22" s="247" customFormat="1">
      <c r="B80" s="269" t="str">
        <f>B27</f>
        <v>Arm girth flexed and tensed</v>
      </c>
      <c r="C80" s="269"/>
      <c r="D80" s="269"/>
      <c r="E80" s="269"/>
      <c r="F80" s="269"/>
      <c r="G80" s="245">
        <f t="shared" ref="G80:I83" si="23">+G27</f>
        <v>39.75</v>
      </c>
      <c r="H80" s="245">
        <f t="shared" si="23"/>
        <v>39.799999999999997</v>
      </c>
      <c r="I80" s="245">
        <f t="shared" si="23"/>
        <v>0</v>
      </c>
      <c r="J80" s="224">
        <f t="shared" si="18"/>
        <v>4.9999999999997158E-2</v>
      </c>
      <c r="K80" s="224">
        <f t="shared" si="19"/>
        <v>39.75</v>
      </c>
      <c r="L80" s="224">
        <f t="shared" si="20"/>
        <v>39.799999999999997</v>
      </c>
      <c r="M80" s="246">
        <f t="shared" si="21"/>
        <v>39.75</v>
      </c>
      <c r="N80" s="246">
        <f t="shared" si="22"/>
        <v>39.799999999999997</v>
      </c>
    </row>
    <row r="81" spans="1:14" s="247" customFormat="1">
      <c r="B81" s="269" t="str">
        <f>B28</f>
        <v>Waist girth</v>
      </c>
      <c r="C81" s="269"/>
      <c r="D81" s="269"/>
      <c r="E81" s="269"/>
      <c r="F81" s="269"/>
      <c r="G81" s="245">
        <f t="shared" si="23"/>
        <v>80.5</v>
      </c>
      <c r="H81" s="245">
        <f t="shared" si="23"/>
        <v>80.5</v>
      </c>
      <c r="I81" s="245">
        <f t="shared" si="23"/>
        <v>0</v>
      </c>
      <c r="J81" s="224">
        <f t="shared" si="18"/>
        <v>0</v>
      </c>
      <c r="K81" s="224">
        <f t="shared" si="19"/>
        <v>80.5</v>
      </c>
      <c r="L81" s="224">
        <f t="shared" si="20"/>
        <v>80.5</v>
      </c>
      <c r="M81" s="246">
        <f t="shared" si="21"/>
        <v>80.5</v>
      </c>
      <c r="N81" s="246">
        <f t="shared" si="22"/>
        <v>80.5</v>
      </c>
    </row>
    <row r="82" spans="1:14" s="247" customFormat="1">
      <c r="B82" s="269" t="str">
        <f>B29</f>
        <v>Hips girth</v>
      </c>
      <c r="C82" s="269"/>
      <c r="D82" s="269"/>
      <c r="E82" s="269"/>
      <c r="F82" s="269"/>
      <c r="G82" s="245">
        <f t="shared" si="23"/>
        <v>98.5</v>
      </c>
      <c r="H82" s="245">
        <f t="shared" si="23"/>
        <v>98.7</v>
      </c>
      <c r="I82" s="245">
        <f t="shared" si="23"/>
        <v>98.6</v>
      </c>
      <c r="J82" s="224">
        <f t="shared" si="18"/>
        <v>0.20000000000000284</v>
      </c>
      <c r="K82" s="224">
        <f t="shared" si="19"/>
        <v>9.9999999999994316E-2</v>
      </c>
      <c r="L82" s="224">
        <f t="shared" si="20"/>
        <v>0.10000000000000853</v>
      </c>
      <c r="M82" s="246">
        <f t="shared" si="21"/>
        <v>98.5</v>
      </c>
      <c r="N82" s="246">
        <f t="shared" si="22"/>
        <v>98.6</v>
      </c>
    </row>
    <row r="83" spans="1:14">
      <c r="A83" s="247"/>
      <c r="B83" s="269" t="str">
        <f>B30</f>
        <v>Thigh middle girth</v>
      </c>
      <c r="C83" s="269"/>
      <c r="D83" s="269"/>
      <c r="E83" s="269"/>
      <c r="F83" s="269"/>
      <c r="G83" s="245">
        <f t="shared" si="23"/>
        <v>59.5</v>
      </c>
      <c r="H83" s="245">
        <f t="shared" si="23"/>
        <v>59.5</v>
      </c>
      <c r="I83" s="245">
        <f t="shared" si="23"/>
        <v>0</v>
      </c>
      <c r="J83" s="224">
        <f t="shared" si="18"/>
        <v>0</v>
      </c>
      <c r="K83" s="224">
        <f t="shared" si="19"/>
        <v>59.5</v>
      </c>
      <c r="L83" s="224">
        <f t="shared" si="20"/>
        <v>59.5</v>
      </c>
      <c r="M83" s="246">
        <f t="shared" si="21"/>
        <v>59.5</v>
      </c>
      <c r="N83" s="246">
        <f t="shared" si="22"/>
        <v>59.5</v>
      </c>
    </row>
    <row r="84" spans="1:14">
      <c r="B84" s="269" t="str">
        <f>B32</f>
        <v>Calf girth</v>
      </c>
      <c r="C84" s="269"/>
      <c r="D84" s="269"/>
      <c r="E84" s="269"/>
      <c r="F84" s="269"/>
      <c r="G84" s="245">
        <f>+G32</f>
        <v>38.5</v>
      </c>
      <c r="H84" s="245">
        <f>+H32</f>
        <v>38.5</v>
      </c>
      <c r="I84" s="245">
        <f>+I32</f>
        <v>0</v>
      </c>
      <c r="J84" s="224">
        <f t="shared" si="18"/>
        <v>0</v>
      </c>
      <c r="K84" s="224">
        <f t="shared" si="19"/>
        <v>38.5</v>
      </c>
      <c r="L84" s="224">
        <f t="shared" si="20"/>
        <v>38.5</v>
      </c>
      <c r="M84" s="246">
        <f t="shared" si="21"/>
        <v>38.5</v>
      </c>
      <c r="N84" s="246">
        <f t="shared" si="22"/>
        <v>38.5</v>
      </c>
    </row>
    <row r="85" spans="1:14">
      <c r="B85" s="269" t="str">
        <f>B34</f>
        <v>Humerus breadth</v>
      </c>
      <c r="C85" s="269"/>
      <c r="D85" s="269"/>
      <c r="E85" s="269"/>
      <c r="F85" s="269"/>
      <c r="G85" s="245">
        <f t="shared" ref="G85:I87" si="24">+G34</f>
        <v>7.2</v>
      </c>
      <c r="H85" s="245">
        <f t="shared" si="24"/>
        <v>7.2</v>
      </c>
      <c r="I85" s="245">
        <f t="shared" si="24"/>
        <v>0</v>
      </c>
      <c r="J85" s="224">
        <f t="shared" si="18"/>
        <v>0</v>
      </c>
      <c r="K85" s="224">
        <f t="shared" si="19"/>
        <v>7.2</v>
      </c>
      <c r="L85" s="224">
        <f t="shared" si="20"/>
        <v>7.2</v>
      </c>
      <c r="M85" s="246">
        <f t="shared" si="21"/>
        <v>7.2</v>
      </c>
      <c r="N85" s="246">
        <f t="shared" si="22"/>
        <v>7.2</v>
      </c>
    </row>
    <row r="86" spans="1:14">
      <c r="B86" s="269" t="str">
        <f>B35</f>
        <v>Bi-styloid breadth</v>
      </c>
      <c r="C86" s="269"/>
      <c r="D86" s="269"/>
      <c r="E86" s="269"/>
      <c r="F86" s="269"/>
      <c r="G86" s="245">
        <f t="shared" si="24"/>
        <v>5.5</v>
      </c>
      <c r="H86" s="245">
        <f t="shared" si="24"/>
        <v>5.5</v>
      </c>
      <c r="I86" s="245">
        <f t="shared" si="24"/>
        <v>0</v>
      </c>
      <c r="J86" s="224">
        <f t="shared" si="18"/>
        <v>0</v>
      </c>
      <c r="K86" s="224">
        <f t="shared" si="19"/>
        <v>5.5</v>
      </c>
      <c r="L86" s="224">
        <f t="shared" si="20"/>
        <v>5.5</v>
      </c>
      <c r="M86" s="246">
        <f t="shared" si="21"/>
        <v>5.5</v>
      </c>
      <c r="N86" s="246">
        <f t="shared" si="22"/>
        <v>5.5</v>
      </c>
    </row>
    <row r="87" spans="1:14">
      <c r="B87" s="269" t="str">
        <f>B36</f>
        <v>Femur breadth</v>
      </c>
      <c r="C87" s="269"/>
      <c r="D87" s="269"/>
      <c r="E87" s="269"/>
      <c r="F87" s="269"/>
      <c r="G87" s="245">
        <f t="shared" si="24"/>
        <v>9.6</v>
      </c>
      <c r="H87" s="245">
        <f t="shared" si="24"/>
        <v>9.6</v>
      </c>
      <c r="I87" s="245">
        <f t="shared" si="24"/>
        <v>0</v>
      </c>
      <c r="J87" s="224">
        <f t="shared" si="18"/>
        <v>0</v>
      </c>
      <c r="K87" s="224">
        <f t="shared" si="19"/>
        <v>9.6</v>
      </c>
      <c r="L87" s="224">
        <f t="shared" si="20"/>
        <v>9.6</v>
      </c>
      <c r="M87" s="246">
        <f t="shared" si="21"/>
        <v>9.6</v>
      </c>
      <c r="N87" s="246">
        <f t="shared" si="22"/>
        <v>9.6</v>
      </c>
    </row>
    <row r="88" spans="1:14">
      <c r="M88" s="103"/>
      <c r="N88" s="103"/>
    </row>
    <row r="89" spans="1:14">
      <c r="M89" s="103"/>
      <c r="N89" s="103"/>
    </row>
    <row r="90" spans="1:14">
      <c r="M90" s="103"/>
      <c r="N90" s="103"/>
    </row>
    <row r="91" spans="1:14">
      <c r="M91" s="103"/>
      <c r="N91" s="103"/>
    </row>
  </sheetData>
  <sheetProtection algorithmName="SHA-512" hashValue="EfYJ/JoU/yI9c8q4lqbh2sbV49KDCCzjcfffzvVDz4voSnzMdWmk+z+q5CiAYK4YdfBHqfp6tjWitoi8noXDXQ==" saltValue="ZTTVhUpjtD3GPJkMgjBvFQ=="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A91"/>
  <sheetViews>
    <sheetView zoomScaleNormal="75" zoomScaleSheetLayoutView="75" workbookViewId="0">
      <selection activeCell="I31" sqref="I31"/>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55</v>
      </c>
      <c r="H4" s="71"/>
      <c r="I4" s="72"/>
      <c r="J4" s="118"/>
      <c r="K4" s="118"/>
      <c r="L4" s="111"/>
      <c r="M4" s="111"/>
      <c r="N4" s="111"/>
      <c r="O4" s="104"/>
      <c r="P4" s="104"/>
      <c r="Q4" s="113"/>
      <c r="R4" s="105" t="str">
        <f t="shared" ref="R4:R11" si="0">+B4</f>
        <v>Name</v>
      </c>
      <c r="S4" s="119"/>
      <c r="T4" s="119"/>
      <c r="U4" s="120" t="str">
        <f t="shared" ref="U4:U11" si="1">+G4</f>
        <v>Nicolas</v>
      </c>
      <c r="V4" s="107"/>
      <c r="W4" s="107"/>
      <c r="X4" s="121"/>
      <c r="Y4" s="107"/>
      <c r="Z4" s="108"/>
      <c r="AA4" s="115"/>
    </row>
    <row r="5" spans="1:27" s="109" customFormat="1">
      <c r="B5" s="116" t="str">
        <f>IF(Info!D34,"Surname","Apellidos")</f>
        <v>Surname</v>
      </c>
      <c r="C5" s="116"/>
      <c r="D5" s="116"/>
      <c r="E5" s="110"/>
      <c r="F5" s="112"/>
      <c r="G5" s="81" t="s">
        <v>56</v>
      </c>
      <c r="H5" s="73"/>
      <c r="I5" s="74"/>
      <c r="J5" s="122"/>
      <c r="K5" s="122"/>
      <c r="L5" s="122"/>
      <c r="M5" s="122"/>
      <c r="N5" s="123"/>
      <c r="O5" s="104"/>
      <c r="P5" s="104"/>
      <c r="Q5" s="113"/>
      <c r="R5" s="113" t="str">
        <f t="shared" si="0"/>
        <v>Surname</v>
      </c>
      <c r="S5" s="124"/>
      <c r="T5" s="124"/>
      <c r="U5" s="125" t="str">
        <f t="shared" si="1"/>
        <v>Luna</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57</v>
      </c>
      <c r="H9" s="75"/>
      <c r="I9" s="76"/>
      <c r="J9" s="111"/>
      <c r="K9" s="111"/>
      <c r="L9" s="111"/>
      <c r="M9" s="111"/>
      <c r="N9" s="111"/>
      <c r="O9" s="104"/>
      <c r="P9" s="104"/>
      <c r="Q9" s="113"/>
      <c r="R9" s="113" t="str">
        <f t="shared" si="0"/>
        <v>Sport</v>
      </c>
      <c r="S9" s="124"/>
      <c r="T9" s="124"/>
      <c r="U9" s="125" t="str">
        <f t="shared" si="1"/>
        <v>Triathlon</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44333</v>
      </c>
      <c r="H10" s="76"/>
      <c r="I10" s="76"/>
      <c r="J10" s="111"/>
      <c r="K10" s="111"/>
      <c r="L10" s="111"/>
      <c r="M10" s="111"/>
      <c r="N10" s="122"/>
      <c r="O10" s="104"/>
      <c r="P10" s="104"/>
      <c r="Q10" s="113"/>
      <c r="R10" s="113" t="str">
        <f t="shared" si="0"/>
        <v>Date of Measurement</v>
      </c>
      <c r="S10" s="124"/>
      <c r="T10" s="124"/>
      <c r="U10" s="131">
        <f t="shared" si="1"/>
        <v>44333</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35550</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35550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66.3</v>
      </c>
      <c r="H13" s="84">
        <v>66.3</v>
      </c>
      <c r="I13" s="84"/>
      <c r="J13" s="150"/>
      <c r="K13" s="151">
        <f>+(H13-G13)/(AVERAGE(G13:H13))</f>
        <v>0</v>
      </c>
      <c r="L13" s="152" t="str">
        <f>IF(ABS(K13)&gt;1%,"Yes","No")</f>
        <v>No</v>
      </c>
      <c r="M13" s="150"/>
      <c r="N13" s="153">
        <f t="shared" ref="N13:N25" si="2">IF(I13=0,AVERAGE(G13,H13),MEDIAN(G13,H13,I13))</f>
        <v>66.3</v>
      </c>
      <c r="O13" s="154"/>
      <c r="P13" s="154"/>
      <c r="Q13" s="155"/>
      <c r="R13" s="156" t="str">
        <f t="shared" ref="R13:R36" si="3">+B13</f>
        <v>Mass</v>
      </c>
      <c r="S13" s="157"/>
      <c r="T13" s="157"/>
      <c r="U13" s="158">
        <f t="shared" ref="U13:U25" si="4">+N13</f>
        <v>66.3</v>
      </c>
      <c r="V13" s="159" t="s">
        <v>25</v>
      </c>
      <c r="W13" s="160">
        <f>1/8.6*(+U13*((170.18/U$14)^3)-64.58)</f>
        <v>-0.65724739278656141</v>
      </c>
      <c r="X13" s="121"/>
      <c r="Y13" s="107"/>
      <c r="Z13" s="108"/>
      <c r="AA13" s="115"/>
    </row>
    <row r="14" spans="1:27" s="109" customFormat="1">
      <c r="B14" s="161" t="str">
        <f>IF(Info!D34,"Stature","Talla")</f>
        <v>Stature</v>
      </c>
      <c r="C14" s="116"/>
      <c r="D14" s="116"/>
      <c r="E14" s="122"/>
      <c r="F14" s="110"/>
      <c r="G14" s="85">
        <v>177</v>
      </c>
      <c r="H14" s="85">
        <v>177</v>
      </c>
      <c r="I14" s="85"/>
      <c r="J14" s="134"/>
      <c r="K14" s="162">
        <f t="shared" ref="K14:K34" si="5">+(H14-G14)/(AVERAGE(G14:H14))</f>
        <v>0</v>
      </c>
      <c r="L14" s="163" t="str">
        <f>IF(ABS(K14)&gt;1%,"Yes","No")</f>
        <v>No</v>
      </c>
      <c r="M14" s="134"/>
      <c r="N14" s="164">
        <f t="shared" si="2"/>
        <v>177</v>
      </c>
      <c r="O14" s="154"/>
      <c r="P14" s="154"/>
      <c r="Q14" s="155"/>
      <c r="R14" s="155" t="str">
        <f t="shared" si="3"/>
        <v>Stature</v>
      </c>
      <c r="S14" s="165"/>
      <c r="T14" s="165"/>
      <c r="U14" s="166">
        <f t="shared" si="4"/>
        <v>177</v>
      </c>
      <c r="V14" s="167" t="s">
        <v>26</v>
      </c>
      <c r="W14" s="132"/>
      <c r="X14" s="132"/>
      <c r="Y14" s="133"/>
      <c r="Z14" s="115"/>
      <c r="AA14" s="115"/>
    </row>
    <row r="15" spans="1:27" s="109" customFormat="1">
      <c r="B15" s="161" t="str">
        <f>IF(Info!D34,"Sitting height","Talla sentado")</f>
        <v>Sitting height</v>
      </c>
      <c r="C15" s="116"/>
      <c r="D15" s="116"/>
      <c r="E15" s="122"/>
      <c r="F15" s="110"/>
      <c r="G15" s="87">
        <v>128.5</v>
      </c>
      <c r="H15" s="87">
        <v>128.5</v>
      </c>
      <c r="I15" s="87"/>
      <c r="J15" s="134"/>
      <c r="K15" s="162">
        <f t="shared" si="5"/>
        <v>0</v>
      </c>
      <c r="L15" s="163" t="str">
        <f>IF(ABS(K15)&gt;1%,"Yes","No")</f>
        <v>No</v>
      </c>
      <c r="M15" s="134"/>
      <c r="N15" s="164">
        <f t="shared" si="2"/>
        <v>128.5</v>
      </c>
      <c r="O15" s="154"/>
      <c r="P15" s="154"/>
      <c r="Q15" s="155"/>
      <c r="R15" s="155" t="str">
        <f t="shared" si="3"/>
        <v>Sitting height</v>
      </c>
      <c r="S15" s="165"/>
      <c r="T15" s="165"/>
      <c r="U15" s="166">
        <f t="shared" si="4"/>
        <v>128.5</v>
      </c>
      <c r="V15" s="167" t="s">
        <v>26</v>
      </c>
      <c r="W15" s="32">
        <f>1/4.5*(+U15*((170.18/U$14)^1)-89.92)</f>
        <v>7.4730571249215307</v>
      </c>
      <c r="X15" s="132"/>
      <c r="Y15" s="133"/>
      <c r="Z15" s="115"/>
      <c r="AA15" s="115"/>
    </row>
    <row r="16" spans="1:27" s="109" customFormat="1" ht="13.8" thickBot="1">
      <c r="B16" s="161" t="str">
        <f>IF(Info!D34,"Arm Span","Envergadura de brazos")</f>
        <v>Arm Span</v>
      </c>
      <c r="C16" s="116"/>
      <c r="D16" s="116"/>
      <c r="E16" s="122"/>
      <c r="F16" s="110"/>
      <c r="G16" s="87">
        <v>179</v>
      </c>
      <c r="H16" s="87">
        <v>179</v>
      </c>
      <c r="I16" s="87"/>
      <c r="J16" s="134"/>
      <c r="K16" s="162">
        <f t="shared" si="5"/>
        <v>0</v>
      </c>
      <c r="L16" s="163" t="str">
        <f>IF(ABS(K16)&gt;1%,"Yes","No")</f>
        <v>No</v>
      </c>
      <c r="M16" s="134"/>
      <c r="N16" s="164">
        <f t="shared" si="2"/>
        <v>179</v>
      </c>
      <c r="O16" s="154"/>
      <c r="P16" s="154"/>
      <c r="Q16" s="155"/>
      <c r="R16" s="168" t="str">
        <f t="shared" si="3"/>
        <v>Arm Span</v>
      </c>
      <c r="S16" s="169"/>
      <c r="T16" s="169"/>
      <c r="U16" s="170">
        <f t="shared" si="4"/>
        <v>179</v>
      </c>
      <c r="V16" s="171" t="s">
        <v>26</v>
      </c>
      <c r="W16" s="33">
        <f>1/7.41*(+U16*((170.18/U$14)^1)-172.35)</f>
        <v>-3.334172022842908E-2</v>
      </c>
      <c r="X16" s="172"/>
      <c r="Y16" s="173"/>
      <c r="Z16" s="174"/>
      <c r="AA16" s="115"/>
    </row>
    <row r="17" spans="1:27" ht="18" customHeight="1" thickTop="1">
      <c r="A17" s="109"/>
      <c r="B17" s="146" t="str">
        <f>IF(Info!D34,"Triceps sf","PL Tríceps")</f>
        <v>Triceps sf</v>
      </c>
      <c r="C17" s="147"/>
      <c r="D17" s="147"/>
      <c r="E17" s="148"/>
      <c r="F17" s="149"/>
      <c r="G17" s="84">
        <v>5</v>
      </c>
      <c r="H17" s="84">
        <v>5</v>
      </c>
      <c r="I17" s="84"/>
      <c r="J17" s="150"/>
      <c r="K17" s="151">
        <f t="shared" si="5"/>
        <v>0</v>
      </c>
      <c r="L17" s="152" t="str">
        <f t="shared" ref="L17:L24" si="6">IF(ABS(K17)&gt;5%,"Yes","No")</f>
        <v>No</v>
      </c>
      <c r="M17" s="150"/>
      <c r="N17" s="153">
        <f t="shared" si="2"/>
        <v>5</v>
      </c>
      <c r="O17" s="154"/>
      <c r="P17" s="154"/>
      <c r="Q17" s="155"/>
      <c r="R17" s="156" t="str">
        <f t="shared" si="3"/>
        <v>Triceps sf</v>
      </c>
      <c r="S17" s="157"/>
      <c r="T17" s="157"/>
      <c r="U17" s="175">
        <f t="shared" si="4"/>
        <v>5</v>
      </c>
      <c r="V17" s="176" t="s">
        <v>27</v>
      </c>
      <c r="W17" s="177">
        <f>1/4.47*(+U17*((170.18/U$14)^1)-15.4)</f>
        <v>-2.3697215586647964</v>
      </c>
      <c r="X17" s="178"/>
      <c r="Y17" s="176"/>
      <c r="Z17" s="179"/>
      <c r="AA17" s="145"/>
    </row>
    <row r="18" spans="1:27" ht="18" customHeight="1">
      <c r="B18" s="161" t="str">
        <f>IF(Info!D34,"Subscapular sf","PL Subescapular")</f>
        <v>Subscapular sf</v>
      </c>
      <c r="C18" s="116"/>
      <c r="D18" s="116"/>
      <c r="E18" s="122"/>
      <c r="F18" s="110"/>
      <c r="G18" s="85">
        <v>7.5</v>
      </c>
      <c r="H18" s="85">
        <v>7</v>
      </c>
      <c r="I18" s="85">
        <v>7</v>
      </c>
      <c r="J18" s="134"/>
      <c r="K18" s="162">
        <f t="shared" si="5"/>
        <v>-6.8965517241379309E-2</v>
      </c>
      <c r="L18" s="163" t="str">
        <f t="shared" si="6"/>
        <v>Yes</v>
      </c>
      <c r="M18" s="134"/>
      <c r="N18" s="164">
        <f t="shared" si="2"/>
        <v>7</v>
      </c>
      <c r="O18" s="154"/>
      <c r="P18" s="154"/>
      <c r="Q18" s="155"/>
      <c r="R18" s="155" t="str">
        <f t="shared" si="3"/>
        <v>Subscapular sf</v>
      </c>
      <c r="S18" s="165"/>
      <c r="T18" s="165"/>
      <c r="U18" s="180">
        <f t="shared" si="4"/>
        <v>7</v>
      </c>
      <c r="V18" s="143" t="s">
        <v>27</v>
      </c>
      <c r="W18" s="32">
        <f>1/5.07*(+U18*((170.18/U$14)^1)-17.2)</f>
        <v>-2.0650330402612016</v>
      </c>
      <c r="X18" s="181"/>
      <c r="Y18" s="143"/>
      <c r="Z18" s="145"/>
      <c r="AA18" s="145"/>
    </row>
    <row r="19" spans="1:27" ht="18" customHeight="1">
      <c r="B19" s="161" t="str">
        <f>IF(Info!D34,"Biceps sf","PL Bíceps")</f>
        <v>Biceps sf</v>
      </c>
      <c r="C19" s="116"/>
      <c r="D19" s="116"/>
      <c r="E19" s="122"/>
      <c r="F19" s="110"/>
      <c r="G19" s="85">
        <v>1.5</v>
      </c>
      <c r="H19" s="85">
        <v>1.5</v>
      </c>
      <c r="I19" s="85"/>
      <c r="J19" s="134"/>
      <c r="K19" s="182">
        <f t="shared" si="5"/>
        <v>0</v>
      </c>
      <c r="L19" s="163" t="str">
        <f t="shared" si="6"/>
        <v>No</v>
      </c>
      <c r="M19" s="134"/>
      <c r="N19" s="164">
        <f t="shared" si="2"/>
        <v>1.5</v>
      </c>
      <c r="O19" s="154"/>
      <c r="P19" s="154"/>
      <c r="Q19" s="155"/>
      <c r="R19" s="155" t="str">
        <f t="shared" si="3"/>
        <v>Biceps sf</v>
      </c>
      <c r="S19" s="165"/>
      <c r="T19" s="165"/>
      <c r="U19" s="180">
        <f t="shared" si="4"/>
        <v>1.5</v>
      </c>
      <c r="V19" s="143" t="s">
        <v>27</v>
      </c>
      <c r="W19" s="32">
        <f>1/2*(+U19*((170.18/U$14)^1)-8)</f>
        <v>-3.2788983050847458</v>
      </c>
      <c r="X19" s="181"/>
      <c r="Y19" s="143"/>
      <c r="Z19" s="145"/>
      <c r="AA19" s="145"/>
    </row>
    <row r="20" spans="1:27" ht="18" customHeight="1">
      <c r="B20" s="161" t="str">
        <f>IF(Info!D34,"Iliac crest sf","PL Cresta Iliaca")</f>
        <v>Iliac crest sf</v>
      </c>
      <c r="C20" s="116"/>
      <c r="D20" s="116"/>
      <c r="E20" s="122"/>
      <c r="F20" s="110"/>
      <c r="G20" s="85">
        <v>10</v>
      </c>
      <c r="H20" s="85">
        <v>10</v>
      </c>
      <c r="I20" s="85"/>
      <c r="J20" s="134"/>
      <c r="K20" s="182">
        <f t="shared" si="5"/>
        <v>0</v>
      </c>
      <c r="L20" s="163" t="str">
        <f t="shared" si="6"/>
        <v>No</v>
      </c>
      <c r="M20" s="134"/>
      <c r="N20" s="164">
        <f t="shared" si="2"/>
        <v>10</v>
      </c>
      <c r="O20" s="154"/>
      <c r="P20" s="154"/>
      <c r="Q20" s="155"/>
      <c r="R20" s="155" t="str">
        <f t="shared" si="3"/>
        <v>Iliac crest sf</v>
      </c>
      <c r="S20" s="165"/>
      <c r="T20" s="165"/>
      <c r="U20" s="180">
        <f t="shared" si="4"/>
        <v>10</v>
      </c>
      <c r="V20" s="143" t="s">
        <v>28</v>
      </c>
      <c r="W20" s="32">
        <f>1/6.8*(+U20*((170.18/U$14)^1)-22.4)</f>
        <v>-1.8801927550681288</v>
      </c>
      <c r="X20" s="181"/>
      <c r="Y20" s="143"/>
      <c r="Z20" s="145"/>
      <c r="AA20" s="145"/>
    </row>
    <row r="21" spans="1:27" ht="18" customHeight="1">
      <c r="B21" s="161" t="str">
        <f>IF(Info!D34,"Supraspinale sf","PL Supraespinal")</f>
        <v>Supraspinale sf</v>
      </c>
      <c r="C21" s="116"/>
      <c r="D21" s="116"/>
      <c r="E21" s="122"/>
      <c r="F21" s="110"/>
      <c r="G21" s="85">
        <v>5</v>
      </c>
      <c r="H21" s="85">
        <v>5</v>
      </c>
      <c r="I21" s="85"/>
      <c r="J21" s="134"/>
      <c r="K21" s="162">
        <f t="shared" si="5"/>
        <v>0</v>
      </c>
      <c r="L21" s="163" t="str">
        <f t="shared" si="6"/>
        <v>No</v>
      </c>
      <c r="M21" s="134"/>
      <c r="N21" s="164">
        <f t="shared" si="2"/>
        <v>5</v>
      </c>
      <c r="O21" s="154"/>
      <c r="P21" s="154"/>
      <c r="Q21" s="155"/>
      <c r="R21" s="155" t="str">
        <f t="shared" si="3"/>
        <v>Supraspinale sf</v>
      </c>
      <c r="S21" s="165"/>
      <c r="T21" s="165"/>
      <c r="U21" s="180">
        <f t="shared" si="4"/>
        <v>5</v>
      </c>
      <c r="V21" s="143" t="s">
        <v>27</v>
      </c>
      <c r="W21" s="32">
        <f>1/4.47*(+U21*((170.18/U$14)^1)-15.4)</f>
        <v>-2.3697215586647964</v>
      </c>
      <c r="X21" s="181"/>
      <c r="Y21" s="143"/>
      <c r="Z21" s="145"/>
      <c r="AA21" s="145"/>
    </row>
    <row r="22" spans="1:27" ht="18" customHeight="1">
      <c r="B22" s="161" t="str">
        <f>IF(Info!D34,"Abdominal sf","PL Abdominal")</f>
        <v>Abdominal sf</v>
      </c>
      <c r="C22" s="116"/>
      <c r="D22" s="116"/>
      <c r="E22" s="122"/>
      <c r="F22" s="110"/>
      <c r="G22" s="85">
        <v>7</v>
      </c>
      <c r="H22" s="85">
        <v>7</v>
      </c>
      <c r="I22" s="85"/>
      <c r="J22" s="134"/>
      <c r="K22" s="162">
        <f t="shared" si="5"/>
        <v>0</v>
      </c>
      <c r="L22" s="163" t="str">
        <f t="shared" si="6"/>
        <v>No</v>
      </c>
      <c r="M22" s="134"/>
      <c r="N22" s="164">
        <f t="shared" si="2"/>
        <v>7</v>
      </c>
      <c r="O22" s="154"/>
      <c r="P22" s="154"/>
      <c r="Q22" s="155"/>
      <c r="R22" s="155" t="str">
        <f t="shared" si="3"/>
        <v>Abdominal sf</v>
      </c>
      <c r="S22" s="165"/>
      <c r="T22" s="165"/>
      <c r="U22" s="180">
        <f t="shared" si="4"/>
        <v>7</v>
      </c>
      <c r="V22" s="143" t="s">
        <v>27</v>
      </c>
      <c r="W22" s="32">
        <f>1/7.78*(+U22*((170.18/U$14)^1)-25.4)</f>
        <v>-2.3997066213527369</v>
      </c>
      <c r="X22" s="181"/>
      <c r="Y22" s="143"/>
      <c r="Z22" s="145"/>
      <c r="AA22" s="145"/>
    </row>
    <row r="23" spans="1:27" ht="18" customHeight="1">
      <c r="B23" s="161" t="str">
        <f>IF(Info!D34,"Thigh sf","PL Muslo")</f>
        <v>Thigh sf</v>
      </c>
      <c r="C23" s="116"/>
      <c r="D23" s="116"/>
      <c r="E23" s="122"/>
      <c r="F23" s="110"/>
      <c r="G23" s="85">
        <v>10</v>
      </c>
      <c r="H23" s="85">
        <v>10</v>
      </c>
      <c r="I23" s="85"/>
      <c r="J23" s="134"/>
      <c r="K23" s="182">
        <f t="shared" si="5"/>
        <v>0</v>
      </c>
      <c r="L23" s="163" t="str">
        <f t="shared" si="6"/>
        <v>No</v>
      </c>
      <c r="M23" s="134"/>
      <c r="N23" s="164">
        <f t="shared" si="2"/>
        <v>10</v>
      </c>
      <c r="O23" s="154"/>
      <c r="P23" s="154"/>
      <c r="Q23" s="155"/>
      <c r="R23" s="155" t="str">
        <f t="shared" si="3"/>
        <v>Thigh sf</v>
      </c>
      <c r="S23" s="165"/>
      <c r="T23" s="165"/>
      <c r="U23" s="180">
        <f t="shared" si="4"/>
        <v>10</v>
      </c>
      <c r="V23" s="143" t="s">
        <v>27</v>
      </c>
      <c r="W23" s="32">
        <f>1/8.33*(+U23*((170.18/U$14)^1)-27)</f>
        <v>-2.087072116982386</v>
      </c>
      <c r="X23" s="181"/>
      <c r="Y23" s="143"/>
      <c r="Z23" s="145"/>
      <c r="AA23" s="145"/>
    </row>
    <row r="24" spans="1:27" ht="18" customHeight="1" thickBot="1">
      <c r="B24" s="183" t="str">
        <f>IF(Info!D34,"Calf sf","PL Pierna")</f>
        <v>Calf sf</v>
      </c>
      <c r="C24" s="184"/>
      <c r="D24" s="184"/>
      <c r="E24" s="185"/>
      <c r="F24" s="186"/>
      <c r="G24" s="86">
        <v>7</v>
      </c>
      <c r="H24" s="86">
        <v>7</v>
      </c>
      <c r="I24" s="86"/>
      <c r="J24" s="187"/>
      <c r="K24" s="182">
        <f t="shared" si="5"/>
        <v>0</v>
      </c>
      <c r="L24" s="188" t="str">
        <f t="shared" si="6"/>
        <v>No</v>
      </c>
      <c r="M24" s="187"/>
      <c r="N24" s="189">
        <f t="shared" si="2"/>
        <v>7</v>
      </c>
      <c r="O24" s="154"/>
      <c r="P24" s="154"/>
      <c r="Q24" s="155"/>
      <c r="R24" s="168" t="str">
        <f t="shared" si="3"/>
        <v>Calf sf</v>
      </c>
      <c r="S24" s="169"/>
      <c r="T24" s="169"/>
      <c r="U24" s="170">
        <f t="shared" si="4"/>
        <v>7</v>
      </c>
      <c r="V24" s="173" t="s">
        <v>27</v>
      </c>
      <c r="W24" s="33">
        <f>1/4.67*(+U24*((170.18/U$14)^1)-16)</f>
        <v>-1.9849502171572364</v>
      </c>
      <c r="X24" s="172"/>
      <c r="Y24" s="173"/>
      <c r="Z24" s="174"/>
      <c r="AA24" s="145"/>
    </row>
    <row r="25" spans="1:27" ht="18" customHeight="1">
      <c r="B25" s="161" t="str">
        <f>IF(Info!D34,"Arm girth relaxed","PR Brazo relajado")</f>
        <v>Arm girth relaxed</v>
      </c>
      <c r="C25" s="116"/>
      <c r="D25" s="116"/>
      <c r="E25" s="122"/>
      <c r="F25" s="110"/>
      <c r="G25" s="85">
        <v>30.5</v>
      </c>
      <c r="H25" s="85">
        <v>30.5</v>
      </c>
      <c r="I25" s="85"/>
      <c r="J25" s="134"/>
      <c r="K25" s="151">
        <f t="shared" si="5"/>
        <v>0</v>
      </c>
      <c r="L25" s="163" t="str">
        <f>IF(ABS(K25)&gt;1%,"Yes","No")</f>
        <v>No</v>
      </c>
      <c r="M25" s="134"/>
      <c r="N25" s="164">
        <f t="shared" si="2"/>
        <v>30.5</v>
      </c>
      <c r="O25" s="154"/>
      <c r="P25" s="154"/>
      <c r="Q25" s="155"/>
      <c r="R25" s="155" t="str">
        <f t="shared" si="3"/>
        <v>Arm girth relaxed</v>
      </c>
      <c r="S25" s="165"/>
      <c r="T25" s="165"/>
      <c r="U25" s="180">
        <f t="shared" si="4"/>
        <v>30.5</v>
      </c>
      <c r="V25" s="143" t="s">
        <v>26</v>
      </c>
      <c r="W25" s="32">
        <f>1/2.33*(+U25*((170.18/U$14)^1)-26.89)</f>
        <v>1.0449795106811175</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28.929203673205102</v>
      </c>
      <c r="V26" s="143" t="s">
        <v>26</v>
      </c>
      <c r="W26" s="32">
        <f>1/1.91*(+U26*((170.18/U$14)^1)-22.05)</f>
        <v>3.0180787443607651</v>
      </c>
      <c r="X26" s="181"/>
      <c r="Y26" s="143"/>
      <c r="Z26" s="145"/>
      <c r="AA26" s="145"/>
    </row>
    <row r="27" spans="1:27" ht="18" customHeight="1">
      <c r="B27" s="199" t="str">
        <f>IF(Info!D34,"Arm girth flexed and tensed","PR Brazo flexionado y contraído")</f>
        <v>Arm girth flexed and tensed</v>
      </c>
      <c r="C27" s="116"/>
      <c r="D27" s="116"/>
      <c r="E27" s="122"/>
      <c r="F27" s="110"/>
      <c r="G27" s="85">
        <v>32.799999999999997</v>
      </c>
      <c r="H27" s="85">
        <v>33</v>
      </c>
      <c r="I27" s="85">
        <v>33</v>
      </c>
      <c r="J27" s="134"/>
      <c r="K27" s="182">
        <f t="shared" si="5"/>
        <v>6.079027355623187E-3</v>
      </c>
      <c r="L27" s="163" t="str">
        <f>IF(ABS(K27)&gt;1%,"Yes","No")</f>
        <v>No</v>
      </c>
      <c r="M27" s="134"/>
      <c r="N27" s="164">
        <f>IF(I27=0,AVERAGE(G27,H27),MEDIAN(G27,H27,I27))</f>
        <v>33</v>
      </c>
      <c r="O27" s="154"/>
      <c r="P27" s="154"/>
      <c r="Q27" s="155"/>
      <c r="R27" s="155" t="str">
        <f t="shared" si="3"/>
        <v>Arm girth flexed and tensed</v>
      </c>
      <c r="S27" s="165"/>
      <c r="T27" s="165"/>
      <c r="U27" s="180">
        <f>+N27</f>
        <v>33</v>
      </c>
      <c r="V27" s="143" t="s">
        <v>26</v>
      </c>
      <c r="W27" s="32">
        <f>1/2.37*(+U27*((170.18/U$14)^1)-29.41)</f>
        <v>0.97825931488235673</v>
      </c>
      <c r="X27" s="181"/>
      <c r="Y27" s="143"/>
      <c r="Z27" s="145"/>
      <c r="AA27" s="145"/>
    </row>
    <row r="28" spans="1:27" ht="18" customHeight="1">
      <c r="B28" s="200" t="str">
        <f>IF(Info!D34,"Waist girth","PR Cintura")</f>
        <v>Waist girth</v>
      </c>
      <c r="C28" s="116"/>
      <c r="D28" s="116"/>
      <c r="E28" s="122"/>
      <c r="F28" s="110"/>
      <c r="G28" s="85">
        <v>78</v>
      </c>
      <c r="H28" s="85">
        <v>78</v>
      </c>
      <c r="I28" s="85"/>
      <c r="J28" s="134"/>
      <c r="K28" s="182">
        <f t="shared" si="5"/>
        <v>0</v>
      </c>
      <c r="L28" s="163" t="str">
        <f>IF(ABS(K28)&gt;1%,"Yes","No")</f>
        <v>No</v>
      </c>
      <c r="M28" s="134"/>
      <c r="N28" s="164">
        <f>IF(I28=0,AVERAGE(G28,H28),MEDIAN(G28,H28,I28))</f>
        <v>78</v>
      </c>
      <c r="O28" s="154"/>
      <c r="P28" s="154"/>
      <c r="Q28" s="155"/>
      <c r="R28" s="155" t="str">
        <f t="shared" si="3"/>
        <v>Waist girth</v>
      </c>
      <c r="S28" s="165"/>
      <c r="T28" s="165"/>
      <c r="U28" s="180">
        <f>+N28</f>
        <v>78</v>
      </c>
      <c r="V28" s="143" t="s">
        <v>26</v>
      </c>
      <c r="W28" s="32">
        <f>1/4.45*(+U28*((170.18/U$14)^1)-71.91)</f>
        <v>0.6931632070081909</v>
      </c>
      <c r="X28" s="181"/>
      <c r="Y28" s="143"/>
      <c r="Z28" s="145"/>
      <c r="AA28" s="145"/>
    </row>
    <row r="29" spans="1:27" ht="18" customHeight="1">
      <c r="B29" s="200" t="str">
        <f>IF(Info!D34,"Hips girth","PR Caderas")</f>
        <v>Hips girth</v>
      </c>
      <c r="C29" s="116"/>
      <c r="D29" s="116"/>
      <c r="E29" s="122"/>
      <c r="F29" s="110"/>
      <c r="G29" s="85">
        <v>91.5</v>
      </c>
      <c r="H29" s="85">
        <v>91.5</v>
      </c>
      <c r="I29" s="85"/>
      <c r="J29" s="134"/>
      <c r="K29" s="182">
        <f t="shared" si="5"/>
        <v>0</v>
      </c>
      <c r="L29" s="163" t="str">
        <f>IF(ABS(K29)&gt;1%,"Yes","No")</f>
        <v>No</v>
      </c>
      <c r="M29" s="134"/>
      <c r="N29" s="164">
        <f>IF(I29=0,AVERAGE(G29,H29),MEDIAN(G29,H29,I29))</f>
        <v>91.5</v>
      </c>
      <c r="O29" s="154"/>
      <c r="P29" s="154"/>
      <c r="Q29" s="155"/>
      <c r="R29" s="155" t="str">
        <f t="shared" si="3"/>
        <v>Hips girth</v>
      </c>
      <c r="S29" s="165"/>
      <c r="T29" s="165"/>
      <c r="U29" s="180">
        <f>+N29</f>
        <v>91.5</v>
      </c>
      <c r="V29" s="143" t="s">
        <v>26</v>
      </c>
      <c r="W29" s="32">
        <f>1/5.58*(+U29*((170.18/U$14)^1)-94.67)</f>
        <v>-1.1999271004191716</v>
      </c>
      <c r="X29" s="181"/>
      <c r="Y29" s="143"/>
      <c r="Z29" s="145"/>
      <c r="AA29" s="145"/>
    </row>
    <row r="30" spans="1:27" ht="18" customHeight="1">
      <c r="B30" s="200" t="str">
        <f>IF(Info!D34,"Thigh middle girth","PR Muslo medio")</f>
        <v>Thigh middle girth</v>
      </c>
      <c r="C30" s="116"/>
      <c r="D30" s="116"/>
      <c r="E30" s="122"/>
      <c r="F30" s="110"/>
      <c r="G30" s="85">
        <v>49</v>
      </c>
      <c r="H30" s="85">
        <v>49</v>
      </c>
      <c r="I30" s="85"/>
      <c r="J30" s="134"/>
      <c r="K30" s="182">
        <f>+(H30-G30)/(AVERAGE(G30:H30))</f>
        <v>0</v>
      </c>
      <c r="L30" s="163" t="str">
        <f>IF(ABS(K30)&gt;1%,"Yes","No")</f>
        <v>No</v>
      </c>
      <c r="M30" s="134"/>
      <c r="N30" s="164">
        <f>IF(I30=0,AVERAGE(G30,H30),MEDIAN(G30,H30,I30))</f>
        <v>49</v>
      </c>
      <c r="O30" s="154"/>
      <c r="P30" s="154"/>
      <c r="Q30" s="155"/>
      <c r="R30" s="155" t="str">
        <f t="shared" si="3"/>
        <v>Thigh middle girth</v>
      </c>
      <c r="S30" s="165"/>
      <c r="T30" s="165"/>
      <c r="U30" s="180">
        <f>+N30</f>
        <v>49</v>
      </c>
      <c r="V30" s="143" t="s">
        <v>26</v>
      </c>
      <c r="W30" s="32">
        <f>1/4.56*(+U30*((170.18/U$14)^1)-53.2)</f>
        <v>-1.335092675190803</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45.858407346410203</v>
      </c>
      <c r="V31" s="143" t="s">
        <v>26</v>
      </c>
      <c r="W31" s="32">
        <f>1/3.59*(+U31*((170.18/U$14)^1)-47.34)</f>
        <v>-0.90489312400722766</v>
      </c>
      <c r="X31" s="181"/>
      <c r="Y31" s="143"/>
      <c r="Z31" s="145"/>
      <c r="AA31" s="145"/>
    </row>
    <row r="32" spans="1:27" ht="18" customHeight="1">
      <c r="B32" s="161" t="str">
        <f>IF(Info!D34,"Calf girth","PR Pierna")</f>
        <v>Calf girth</v>
      </c>
      <c r="C32" s="116"/>
      <c r="D32" s="116"/>
      <c r="E32" s="122"/>
      <c r="F32" s="110"/>
      <c r="G32" s="85">
        <v>34</v>
      </c>
      <c r="H32" s="85">
        <v>34</v>
      </c>
      <c r="I32" s="85"/>
      <c r="J32" s="134"/>
      <c r="K32" s="182">
        <f t="shared" si="5"/>
        <v>0</v>
      </c>
      <c r="L32" s="163" t="str">
        <f>IF(ABS(K32)&gt;1%,"Yes","No")</f>
        <v>No</v>
      </c>
      <c r="M32" s="134"/>
      <c r="N32" s="164">
        <f>IF(I32=0,AVERAGE(G32,H32),MEDIAN(G32,H32,I32))</f>
        <v>34</v>
      </c>
      <c r="O32" s="154"/>
      <c r="P32" s="154"/>
      <c r="Q32" s="155"/>
      <c r="R32" s="155" t="str">
        <f t="shared" si="3"/>
        <v>Calf girth</v>
      </c>
      <c r="S32" s="165"/>
      <c r="T32" s="165"/>
      <c r="U32" s="201">
        <f>+N32</f>
        <v>34</v>
      </c>
      <c r="V32" s="143" t="s">
        <v>26</v>
      </c>
      <c r="W32" s="32">
        <f>1/2.3*(+U32*((170.18/U$14)^1)-35.25)</f>
        <v>-1.1130680422500607</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31.800885142487147</v>
      </c>
      <c r="V33" s="173" t="s">
        <v>26</v>
      </c>
      <c r="W33" s="33">
        <f>1/1.97*(+U33*((170.18/U$14)^1)-30.22)</f>
        <v>0.18048878243844851</v>
      </c>
      <c r="X33" s="172"/>
      <c r="Y33" s="173"/>
      <c r="Z33" s="174"/>
      <c r="AA33" s="145"/>
    </row>
    <row r="34" spans="1:27" ht="18" customHeight="1" thickBot="1">
      <c r="B34" s="161" t="str">
        <f>IF(Info!D34,"Humerus breadth","D Húmero")</f>
        <v>Humerus breadth</v>
      </c>
      <c r="C34" s="116"/>
      <c r="D34" s="116"/>
      <c r="E34" s="122"/>
      <c r="F34" s="110"/>
      <c r="G34" s="87">
        <v>6.6</v>
      </c>
      <c r="H34" s="87">
        <v>6.6</v>
      </c>
      <c r="I34" s="87"/>
      <c r="J34" s="134"/>
      <c r="K34" s="151">
        <f t="shared" si="5"/>
        <v>0</v>
      </c>
      <c r="L34" s="209" t="str">
        <f>IF(ABS(K34)&gt;1%,"Yes","No")</f>
        <v>No</v>
      </c>
      <c r="M34" s="134"/>
      <c r="N34" s="210">
        <f>IF(I34=0,AVERAGE(G34,H34),MEDIAN(G34,H34,I34))</f>
        <v>6.6</v>
      </c>
      <c r="O34" s="154"/>
      <c r="P34" s="154"/>
      <c r="Q34" s="155"/>
      <c r="R34" s="155" t="str">
        <f t="shared" si="3"/>
        <v>Humerus breadth</v>
      </c>
      <c r="S34" s="165"/>
      <c r="T34" s="165"/>
      <c r="U34" s="180">
        <f>+N34</f>
        <v>6.6</v>
      </c>
      <c r="V34" s="143" t="s">
        <v>26</v>
      </c>
      <c r="W34" s="32">
        <f>1/0.35*(+U34*((170.18/U$14)^1)-6.48)</f>
        <v>-0.3837288135593247</v>
      </c>
      <c r="X34" s="181"/>
      <c r="Y34" s="143"/>
      <c r="Z34" s="145"/>
      <c r="AA34" s="145"/>
    </row>
    <row r="35" spans="1:27" ht="18" customHeight="1">
      <c r="B35" s="161" t="str">
        <f>IF(Info!D34,"Bi-styloid breadth","D Biestiloideo")</f>
        <v>Bi-styloid breadth</v>
      </c>
      <c r="C35" s="116"/>
      <c r="D35" s="116"/>
      <c r="E35" s="122"/>
      <c r="F35" s="110"/>
      <c r="G35" s="91">
        <v>6</v>
      </c>
      <c r="H35" s="91">
        <v>6</v>
      </c>
      <c r="I35" s="91"/>
      <c r="J35" s="134"/>
      <c r="K35" s="151">
        <f>+(H35-G35)/(AVERAGE(G35:H35))</f>
        <v>0</v>
      </c>
      <c r="L35" s="209" t="str">
        <f>IF(ABS(K35)&gt;1%,"Yes","No")</f>
        <v>No</v>
      </c>
      <c r="M35" s="134"/>
      <c r="N35" s="210">
        <f>IF(I35=0,AVERAGE(G35,H35),MEDIAN(G35,H35,I35))</f>
        <v>6</v>
      </c>
      <c r="O35" s="154"/>
      <c r="P35" s="154"/>
      <c r="Q35" s="155"/>
      <c r="R35" s="155" t="str">
        <f t="shared" si="3"/>
        <v>Bi-styloid breadth</v>
      </c>
      <c r="S35" s="165"/>
      <c r="T35" s="165"/>
      <c r="U35" s="180">
        <f>+N35</f>
        <v>6</v>
      </c>
      <c r="V35" s="143" t="s">
        <v>26</v>
      </c>
      <c r="W35" s="32">
        <f>1/0.28*(+U35*((170.18/U$14)^1)-5.21)</f>
        <v>1.9957627118644063</v>
      </c>
      <c r="X35" s="181"/>
      <c r="Y35" s="143"/>
      <c r="Z35" s="145"/>
      <c r="AA35" s="145"/>
    </row>
    <row r="36" spans="1:27" ht="18" customHeight="1" thickBot="1">
      <c r="B36" s="183" t="str">
        <f>IF(Info!D34,"Femur breadth","D Fémur")</f>
        <v>Femur breadth</v>
      </c>
      <c r="C36" s="184"/>
      <c r="D36" s="184"/>
      <c r="E36" s="185"/>
      <c r="F36" s="186"/>
      <c r="G36" s="86">
        <v>9.6999999999999993</v>
      </c>
      <c r="H36" s="86">
        <v>9.6999999999999993</v>
      </c>
      <c r="I36" s="86"/>
      <c r="J36" s="187"/>
      <c r="K36" s="182">
        <f>+(H36-G36)/(AVERAGE(G36:H36))</f>
        <v>0</v>
      </c>
      <c r="L36" s="188" t="str">
        <f>IF(ABS(K36)&gt;1%,"Yes","No")</f>
        <v>No</v>
      </c>
      <c r="M36" s="187"/>
      <c r="N36" s="189">
        <f>IF(I36=0,AVERAGE(G36,H36),MEDIAN(G36,H36,I36))</f>
        <v>9.6999999999999993</v>
      </c>
      <c r="O36" s="154"/>
      <c r="P36" s="154"/>
      <c r="Q36" s="155"/>
      <c r="R36" s="211" t="str">
        <f t="shared" si="3"/>
        <v>Femur breadth</v>
      </c>
      <c r="S36" s="212"/>
      <c r="T36" s="212"/>
      <c r="U36" s="213">
        <f>+N36</f>
        <v>9.6999999999999993</v>
      </c>
      <c r="V36" s="214" t="s">
        <v>26</v>
      </c>
      <c r="W36" s="215">
        <f>1/0.48*(+U36*((170.18/U$14)^1)-9.52)</f>
        <v>-0.40364877589453846</v>
      </c>
      <c r="X36" s="214"/>
      <c r="Y36" s="214"/>
      <c r="Z36" s="216"/>
      <c r="AA36" s="145"/>
    </row>
    <row r="37" spans="1:27" ht="18" customHeight="1">
      <c r="Q37" s="113"/>
      <c r="AA37" s="145"/>
    </row>
    <row r="38" spans="1:27" ht="13.8" thickBot="1">
      <c r="B38" s="224"/>
      <c r="C38" s="249"/>
      <c r="D38" s="249"/>
      <c r="E38" s="249"/>
      <c r="F38" s="249"/>
      <c r="G38" s="249"/>
      <c r="H38" s="249"/>
      <c r="I38" s="224"/>
      <c r="J38" s="224"/>
      <c r="K38" s="224"/>
      <c r="L38" s="225"/>
      <c r="M38" s="225"/>
      <c r="N38" s="2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 t="shared" ref="B40:B52" si="7">B13</f>
        <v>Mass</v>
      </c>
      <c r="C40" s="222"/>
      <c r="D40" s="223">
        <f t="shared" ref="D40:D52" si="8">IF(G13=H13,1,0)</f>
        <v>1</v>
      </c>
      <c r="E40" s="223">
        <f t="shared" ref="E40:E52" si="9">IF(G13=I13,1,0)</f>
        <v>0</v>
      </c>
      <c r="F40" s="223">
        <f t="shared" ref="F40:F52" si="10">IF(H13=I13,1,0)</f>
        <v>0</v>
      </c>
      <c r="G40" s="223">
        <f t="shared" ref="G40:G52" si="11">IF(I13="",0,1)</f>
        <v>0</v>
      </c>
      <c r="H40" s="222">
        <f t="shared" ref="H40:H52" si="12">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1.4779012603452</v>
      </c>
      <c r="V40" s="124"/>
      <c r="W40" s="124"/>
      <c r="X40" s="124"/>
      <c r="Y40" s="124"/>
      <c r="Z40" s="145"/>
      <c r="AA40" s="145"/>
    </row>
    <row r="41" spans="1:27" s="109" customFormat="1">
      <c r="A41" s="104"/>
      <c r="B41" s="223" t="str">
        <f t="shared" si="7"/>
        <v>Stature</v>
      </c>
      <c r="C41" s="222"/>
      <c r="D41" s="223">
        <f t="shared" si="8"/>
        <v>1</v>
      </c>
      <c r="E41" s="223">
        <f t="shared" si="9"/>
        <v>0</v>
      </c>
      <c r="F41" s="223">
        <f t="shared" si="10"/>
        <v>0</v>
      </c>
      <c r="G41" s="223">
        <f t="shared" si="11"/>
        <v>0</v>
      </c>
      <c r="H41" s="222">
        <f t="shared" si="12"/>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4.2767999999999979</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3.4320267615394826</v>
      </c>
      <c r="V42" s="224">
        <f>U14/(U13^(1/3))</f>
        <v>43.732276996638632</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21.162501196974048</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1</v>
      </c>
      <c r="H45" s="222">
        <f t="shared" si="12"/>
        <v>1</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0.85245901639344257</v>
      </c>
      <c r="V46" s="126"/>
      <c r="W46" s="233"/>
      <c r="X46" s="201"/>
      <c r="Y46" s="126"/>
      <c r="Z46" s="115"/>
      <c r="AA46" s="115"/>
    </row>
    <row r="47" spans="1:27" s="109" customFormat="1">
      <c r="A47" s="234"/>
      <c r="B47" s="223" t="str">
        <f t="shared" si="7"/>
        <v>Iliac crest sf</v>
      </c>
      <c r="C47" s="222"/>
      <c r="D47" s="223">
        <f t="shared" si="8"/>
        <v>1</v>
      </c>
      <c r="E47" s="223">
        <f t="shared" si="9"/>
        <v>0</v>
      </c>
      <c r="F47" s="223">
        <f t="shared" si="10"/>
        <v>0</v>
      </c>
      <c r="G47" s="223">
        <f t="shared" si="11"/>
        <v>0</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41</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52.5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9.82</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9.4550000000000001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6.8891</v>
      </c>
      <c r="V53" s="227" t="str">
        <f>'3'!V53</f>
        <v>(Carter, from Yuhasz)</v>
      </c>
      <c r="X53" s="229"/>
      <c r="Y53" s="227"/>
      <c r="Z53" s="145"/>
      <c r="AA53" s="145"/>
    </row>
    <row r="54" spans="1:27">
      <c r="B54" s="223" t="str">
        <f>B27</f>
        <v>Arm girth flexed and tensed</v>
      </c>
      <c r="C54" s="222"/>
      <c r="D54" s="223">
        <f>IF(G27=H27,1,0)</f>
        <v>0</v>
      </c>
      <c r="E54" s="223">
        <f>IF(G27=I27,1,0)</f>
        <v>0</v>
      </c>
      <c r="F54" s="223">
        <f>IF(H27=I27,1,0)</f>
        <v>1</v>
      </c>
      <c r="G54" s="223">
        <f>IF(I27="",0,1)</f>
        <v>1</v>
      </c>
      <c r="H54" s="222">
        <f>IF(L27="Yes",1,0)</f>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47.11345003410225</v>
      </c>
      <c r="V54" s="239" t="str">
        <f>'3'!V54</f>
        <v>(Lee)</v>
      </c>
      <c r="X54" s="235"/>
      <c r="Y54" s="227"/>
      <c r="Z54" s="145"/>
      <c r="AA54" s="145"/>
    </row>
    <row r="55" spans="1:27">
      <c r="B55" s="223" t="str">
        <f>B28</f>
        <v>Waist girth</v>
      </c>
      <c r="C55" s="222"/>
      <c r="D55" s="223">
        <f>IF(G28=H28,1,0)</f>
        <v>1</v>
      </c>
      <c r="E55" s="223">
        <f>IF(G28=I28,1,0)</f>
        <v>0</v>
      </c>
      <c r="F55" s="223">
        <f>IF(H28=I28,1,0)</f>
        <v>0</v>
      </c>
      <c r="G55" s="223">
        <f>IF(I28="",0,1)</f>
        <v>0</v>
      </c>
      <c r="H55" s="222">
        <f>IF(L28="Yes",1,0)</f>
        <v>0</v>
      </c>
      <c r="I55" s="224">
        <f t="shared" si="13"/>
        <v>0</v>
      </c>
      <c r="J55" s="224">
        <f t="shared" si="13"/>
        <v>0</v>
      </c>
      <c r="K55" s="224"/>
      <c r="L55" s="224">
        <f>COUNTIF(L13:L36,"yes")</f>
        <v>1</v>
      </c>
      <c r="M55" s="224"/>
      <c r="N55" s="224"/>
      <c r="Q55" s="113"/>
      <c r="R55" s="113"/>
      <c r="U55" s="35">
        <f>(U14/100*((0.0064*(U26^2))+(0.0032*(U31^2))+(0.0015*(U33^2)))+(2.56*IF(U8=1,1,0))+(0.136*(U10-U11)/365.25))*100/U13</f>
        <v>45.108698023955426</v>
      </c>
      <c r="V55" s="239" t="str">
        <f>'3'!V55</f>
        <v>(Poortmans)</v>
      </c>
      <c r="X55" s="240"/>
      <c r="Y55" s="227"/>
      <c r="Z55" s="145"/>
      <c r="AA55" s="145"/>
    </row>
    <row r="56" spans="1:27">
      <c r="B56" s="223" t="str">
        <f>B29</f>
        <v>Hips girth</v>
      </c>
      <c r="C56" s="222"/>
      <c r="D56" s="223">
        <f>IF(G29=H29,1,0)</f>
        <v>1</v>
      </c>
      <c r="E56" s="223">
        <f>IF(G29=I29,1,0)</f>
        <v>0</v>
      </c>
      <c r="F56" s="223">
        <f>IF(H29=I29,1,0)</f>
        <v>0</v>
      </c>
      <c r="G56" s="223">
        <f>IF(I29="",0,1)</f>
        <v>0</v>
      </c>
      <c r="H56" s="222">
        <f>IF(L29="Yes",1,0)</f>
        <v>0</v>
      </c>
      <c r="I56" s="224">
        <f t="shared" si="13"/>
        <v>0</v>
      </c>
      <c r="J56" s="224">
        <f t="shared" si="13"/>
        <v>0</v>
      </c>
      <c r="K56" s="224"/>
      <c r="L56" s="224"/>
      <c r="M56" s="224"/>
      <c r="N56" s="224"/>
      <c r="Q56" s="113"/>
      <c r="R56" s="113"/>
      <c r="S56" s="226" t="str">
        <f>'3'!S56</f>
        <v>Bone percentage</v>
      </c>
      <c r="U56" s="35">
        <f>(3.02*(((U14/100)^2)*(U35/100)*(U36/100)*400)^0.712)*100/U13</f>
        <v>18.745594780790505</v>
      </c>
      <c r="V56" s="239" t="str">
        <f>'3'!V56</f>
        <v>(Rocha)</v>
      </c>
      <c r="W56" s="241"/>
      <c r="X56" s="233"/>
      <c r="Y56" s="227"/>
      <c r="Z56" s="145"/>
      <c r="AA56" s="145"/>
    </row>
    <row r="57" spans="1:27">
      <c r="B57" s="223" t="str">
        <f>B30</f>
        <v>Thigh middle girth</v>
      </c>
      <c r="C57" s="222"/>
      <c r="D57" s="223">
        <f>IF(G30=H30,1,0)</f>
        <v>1</v>
      </c>
      <c r="E57" s="223">
        <f>IF(G30=I30,1,0)</f>
        <v>0</v>
      </c>
      <c r="F57" s="223">
        <f>IF(H30=I30,1,0)</f>
        <v>0</v>
      </c>
      <c r="G57" s="223">
        <f>IF(I30="",0,1)</f>
        <v>0</v>
      </c>
      <c r="H57" s="222">
        <f>IF(L30="Yes",1,0)</f>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B32</f>
        <v>Calf girth</v>
      </c>
      <c r="C59" s="222"/>
      <c r="D59" s="223">
        <f>IF(G32=H32,1,0)</f>
        <v>1</v>
      </c>
      <c r="E59" s="223">
        <f>IF(G32=I32,1,0)</f>
        <v>0</v>
      </c>
      <c r="F59" s="223">
        <f>IF(H32=I32,1,0)</f>
        <v>0</v>
      </c>
      <c r="G59" s="223">
        <f>IF(I32="",0,1)</f>
        <v>0</v>
      </c>
      <c r="H59" s="222">
        <f>IF(L32="Yes",1,0)</f>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B34</f>
        <v>Humerus breadth</v>
      </c>
      <c r="C61" s="222"/>
      <c r="D61" s="223">
        <f>IF(G34=H34,1,0)</f>
        <v>1</v>
      </c>
      <c r="E61" s="223">
        <f>IF(G34=I34,1,0)</f>
        <v>0</v>
      </c>
      <c r="F61" s="223">
        <f>IF(H34=I34,1,0)</f>
        <v>0</v>
      </c>
      <c r="G61" s="223">
        <f>IF(I34="",0,1)</f>
        <v>0</v>
      </c>
      <c r="H61" s="222">
        <f>IF(L34="Yes",1,0)</f>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B35</f>
        <v>Bi-styloid breadth</v>
      </c>
      <c r="C62" s="222"/>
      <c r="D62" s="223">
        <f>IF(G35=H35,1,0)</f>
        <v>1</v>
      </c>
      <c r="E62" s="223">
        <f>IF(G35=I35,1,0)</f>
        <v>0</v>
      </c>
      <c r="F62" s="223">
        <f>IF(H35=I35,1,0)</f>
        <v>0</v>
      </c>
      <c r="G62" s="223">
        <f>IF(I35="",0,1)</f>
        <v>0</v>
      </c>
      <c r="H62" s="222">
        <f>IF(L35="Yes",1,0)</f>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19</v>
      </c>
      <c r="E64" s="223">
        <f t="shared" si="15"/>
        <v>0</v>
      </c>
      <c r="F64" s="223">
        <f t="shared" si="15"/>
        <v>2</v>
      </c>
      <c r="G64" s="223">
        <f t="shared" si="15"/>
        <v>2</v>
      </c>
      <c r="H64" s="223">
        <f t="shared" si="15"/>
        <v>1</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 t="shared" ref="B67:B79" si="16">B13</f>
        <v>Mass</v>
      </c>
      <c r="C67" s="269"/>
      <c r="D67" s="269"/>
      <c r="E67" s="269"/>
      <c r="F67" s="269"/>
      <c r="G67" s="245">
        <f t="shared" ref="G67:H79" si="17">+G13</f>
        <v>66.3</v>
      </c>
      <c r="H67" s="245">
        <f t="shared" si="17"/>
        <v>66.3</v>
      </c>
      <c r="I67" s="245">
        <f t="shared" ref="I67:I79" si="18">+I13</f>
        <v>0</v>
      </c>
      <c r="J67" s="224">
        <f t="shared" ref="J67:J87" si="19">ABS(G67-H67)</f>
        <v>0</v>
      </c>
      <c r="K67" s="224">
        <f t="shared" ref="K67:K87" si="20">ABS(I67-G67)</f>
        <v>66.3</v>
      </c>
      <c r="L67" s="224">
        <f t="shared" ref="L67:L87" si="21">ABS(H67-I67)</f>
        <v>66.3</v>
      </c>
      <c r="M67" s="246">
        <f t="shared" ref="M67:M87" si="22">IF(J67=MIN(J67:L67),G67,IF(K67=MIN(J67:L67),G67,H67))</f>
        <v>66.3</v>
      </c>
      <c r="N67" s="246">
        <f t="shared" ref="N67:N87" si="23">IF(J67=MIN(J67:L67),H67,IF(K67=MIN(J67:L67),I67,I67))</f>
        <v>66.3</v>
      </c>
    </row>
    <row r="68" spans="1:22" s="247" customFormat="1">
      <c r="B68" s="269" t="str">
        <f t="shared" si="16"/>
        <v>Stature</v>
      </c>
      <c r="C68" s="269"/>
      <c r="D68" s="269"/>
      <c r="E68" s="269"/>
      <c r="F68" s="269"/>
      <c r="G68" s="245">
        <f t="shared" si="17"/>
        <v>177</v>
      </c>
      <c r="H68" s="245">
        <f t="shared" si="17"/>
        <v>177</v>
      </c>
      <c r="I68" s="245">
        <f t="shared" si="18"/>
        <v>0</v>
      </c>
      <c r="J68" s="224">
        <f t="shared" si="19"/>
        <v>0</v>
      </c>
      <c r="K68" s="224">
        <f t="shared" si="20"/>
        <v>177</v>
      </c>
      <c r="L68" s="224">
        <f t="shared" si="21"/>
        <v>177</v>
      </c>
      <c r="M68" s="246">
        <f t="shared" si="22"/>
        <v>177</v>
      </c>
      <c r="N68" s="246">
        <f t="shared" si="23"/>
        <v>177</v>
      </c>
    </row>
    <row r="69" spans="1:22" s="247" customFormat="1">
      <c r="B69" s="269" t="str">
        <f t="shared" si="16"/>
        <v>Sitting height</v>
      </c>
      <c r="C69" s="269"/>
      <c r="D69" s="269"/>
      <c r="E69" s="269"/>
      <c r="F69" s="269"/>
      <c r="G69" s="245">
        <f t="shared" si="17"/>
        <v>128.5</v>
      </c>
      <c r="H69" s="245">
        <f t="shared" si="17"/>
        <v>128.5</v>
      </c>
      <c r="I69" s="245">
        <f t="shared" si="18"/>
        <v>0</v>
      </c>
      <c r="J69" s="224">
        <f t="shared" si="19"/>
        <v>0</v>
      </c>
      <c r="K69" s="224">
        <f t="shared" si="20"/>
        <v>128.5</v>
      </c>
      <c r="L69" s="224">
        <f t="shared" si="21"/>
        <v>128.5</v>
      </c>
      <c r="M69" s="246">
        <f t="shared" si="22"/>
        <v>128.5</v>
      </c>
      <c r="N69" s="246">
        <f t="shared" si="23"/>
        <v>128.5</v>
      </c>
    </row>
    <row r="70" spans="1:22" s="247" customFormat="1">
      <c r="B70" s="269" t="str">
        <f t="shared" si="16"/>
        <v>Arm Span</v>
      </c>
      <c r="C70" s="269"/>
      <c r="D70" s="269"/>
      <c r="E70" s="269"/>
      <c r="F70" s="269"/>
      <c r="G70" s="245">
        <f t="shared" si="17"/>
        <v>179</v>
      </c>
      <c r="H70" s="245">
        <f t="shared" si="17"/>
        <v>179</v>
      </c>
      <c r="I70" s="245">
        <f t="shared" si="18"/>
        <v>0</v>
      </c>
      <c r="J70" s="224">
        <f t="shared" si="19"/>
        <v>0</v>
      </c>
      <c r="K70" s="224">
        <f t="shared" si="20"/>
        <v>179</v>
      </c>
      <c r="L70" s="224">
        <f t="shared" si="21"/>
        <v>179</v>
      </c>
      <c r="M70" s="246">
        <f t="shared" si="22"/>
        <v>179</v>
      </c>
      <c r="N70" s="246">
        <f t="shared" si="23"/>
        <v>179</v>
      </c>
    </row>
    <row r="71" spans="1:22" s="247" customFormat="1">
      <c r="B71" s="269" t="str">
        <f t="shared" si="16"/>
        <v>Triceps sf</v>
      </c>
      <c r="C71" s="269"/>
      <c r="D71" s="269"/>
      <c r="E71" s="269"/>
      <c r="F71" s="269"/>
      <c r="G71" s="245">
        <f t="shared" si="17"/>
        <v>5</v>
      </c>
      <c r="H71" s="245">
        <f t="shared" si="17"/>
        <v>5</v>
      </c>
      <c r="I71" s="245">
        <f t="shared" si="18"/>
        <v>0</v>
      </c>
      <c r="J71" s="224">
        <f t="shared" si="19"/>
        <v>0</v>
      </c>
      <c r="K71" s="224">
        <f t="shared" si="20"/>
        <v>5</v>
      </c>
      <c r="L71" s="224">
        <f t="shared" si="21"/>
        <v>5</v>
      </c>
      <c r="M71" s="246">
        <f t="shared" si="22"/>
        <v>5</v>
      </c>
      <c r="N71" s="246">
        <f t="shared" si="23"/>
        <v>5</v>
      </c>
    </row>
    <row r="72" spans="1:22" s="247" customFormat="1">
      <c r="B72" s="269" t="str">
        <f t="shared" si="16"/>
        <v>Subscapular sf</v>
      </c>
      <c r="C72" s="269"/>
      <c r="D72" s="269"/>
      <c r="E72" s="269"/>
      <c r="F72" s="269"/>
      <c r="G72" s="245">
        <f t="shared" si="17"/>
        <v>7.5</v>
      </c>
      <c r="H72" s="245">
        <f t="shared" si="17"/>
        <v>7</v>
      </c>
      <c r="I72" s="245">
        <f t="shared" si="18"/>
        <v>7</v>
      </c>
      <c r="J72" s="224">
        <f t="shared" si="19"/>
        <v>0.5</v>
      </c>
      <c r="K72" s="224">
        <f t="shared" si="20"/>
        <v>0.5</v>
      </c>
      <c r="L72" s="224">
        <f t="shared" si="21"/>
        <v>0</v>
      </c>
      <c r="M72" s="246">
        <f t="shared" si="22"/>
        <v>7</v>
      </c>
      <c r="N72" s="246">
        <f t="shared" si="23"/>
        <v>7</v>
      </c>
    </row>
    <row r="73" spans="1:22" s="247" customFormat="1">
      <c r="B73" s="269" t="str">
        <f t="shared" si="16"/>
        <v>Biceps sf</v>
      </c>
      <c r="C73" s="269"/>
      <c r="D73" s="269"/>
      <c r="E73" s="269"/>
      <c r="F73" s="269"/>
      <c r="G73" s="245">
        <f t="shared" si="17"/>
        <v>1.5</v>
      </c>
      <c r="H73" s="245">
        <f t="shared" si="17"/>
        <v>1.5</v>
      </c>
      <c r="I73" s="245">
        <f t="shared" si="18"/>
        <v>0</v>
      </c>
      <c r="J73" s="224">
        <f t="shared" si="19"/>
        <v>0</v>
      </c>
      <c r="K73" s="224">
        <f t="shared" si="20"/>
        <v>1.5</v>
      </c>
      <c r="L73" s="224">
        <f t="shared" si="21"/>
        <v>1.5</v>
      </c>
      <c r="M73" s="246">
        <f t="shared" si="22"/>
        <v>1.5</v>
      </c>
      <c r="N73" s="246">
        <f t="shared" si="23"/>
        <v>1.5</v>
      </c>
    </row>
    <row r="74" spans="1:22" s="247" customFormat="1">
      <c r="B74" s="269" t="str">
        <f t="shared" si="16"/>
        <v>Iliac crest sf</v>
      </c>
      <c r="C74" s="269"/>
      <c r="D74" s="269"/>
      <c r="E74" s="269"/>
      <c r="F74" s="269"/>
      <c r="G74" s="245">
        <f t="shared" si="17"/>
        <v>10</v>
      </c>
      <c r="H74" s="245">
        <f t="shared" si="17"/>
        <v>10</v>
      </c>
      <c r="I74" s="245">
        <f t="shared" si="18"/>
        <v>0</v>
      </c>
      <c r="J74" s="224">
        <f t="shared" si="19"/>
        <v>0</v>
      </c>
      <c r="K74" s="224">
        <f t="shared" si="20"/>
        <v>10</v>
      </c>
      <c r="L74" s="224">
        <f t="shared" si="21"/>
        <v>10</v>
      </c>
      <c r="M74" s="246">
        <f t="shared" si="22"/>
        <v>10</v>
      </c>
      <c r="N74" s="246">
        <f t="shared" si="23"/>
        <v>10</v>
      </c>
    </row>
    <row r="75" spans="1:22" s="247" customFormat="1">
      <c r="B75" s="269" t="str">
        <f t="shared" si="16"/>
        <v>Supraspinale sf</v>
      </c>
      <c r="C75" s="269"/>
      <c r="D75" s="269"/>
      <c r="E75" s="269"/>
      <c r="F75" s="269"/>
      <c r="G75" s="245">
        <f t="shared" si="17"/>
        <v>5</v>
      </c>
      <c r="H75" s="245">
        <f t="shared" si="17"/>
        <v>5</v>
      </c>
      <c r="I75" s="245">
        <f t="shared" si="18"/>
        <v>0</v>
      </c>
      <c r="J75" s="224">
        <f t="shared" si="19"/>
        <v>0</v>
      </c>
      <c r="K75" s="224">
        <f t="shared" si="20"/>
        <v>5</v>
      </c>
      <c r="L75" s="224">
        <f t="shared" si="21"/>
        <v>5</v>
      </c>
      <c r="M75" s="246">
        <f t="shared" si="22"/>
        <v>5</v>
      </c>
      <c r="N75" s="246">
        <f t="shared" si="23"/>
        <v>5</v>
      </c>
    </row>
    <row r="76" spans="1:22" s="247" customFormat="1">
      <c r="B76" s="269" t="str">
        <f t="shared" si="16"/>
        <v>Abdominal sf</v>
      </c>
      <c r="C76" s="269"/>
      <c r="D76" s="269"/>
      <c r="E76" s="269"/>
      <c r="F76" s="269"/>
      <c r="G76" s="245">
        <f t="shared" si="17"/>
        <v>7</v>
      </c>
      <c r="H76" s="245">
        <f t="shared" si="17"/>
        <v>7</v>
      </c>
      <c r="I76" s="245">
        <f t="shared" si="18"/>
        <v>0</v>
      </c>
      <c r="J76" s="224">
        <f t="shared" si="19"/>
        <v>0</v>
      </c>
      <c r="K76" s="224">
        <f t="shared" si="20"/>
        <v>7</v>
      </c>
      <c r="L76" s="224">
        <f t="shared" si="21"/>
        <v>7</v>
      </c>
      <c r="M76" s="246">
        <f t="shared" si="22"/>
        <v>7</v>
      </c>
      <c r="N76" s="246">
        <f t="shared" si="23"/>
        <v>7</v>
      </c>
    </row>
    <row r="77" spans="1:22" s="247" customFormat="1">
      <c r="A77" s="244"/>
      <c r="B77" s="269" t="str">
        <f t="shared" si="16"/>
        <v>Thigh sf</v>
      </c>
      <c r="C77" s="269"/>
      <c r="D77" s="269"/>
      <c r="E77" s="269"/>
      <c r="F77" s="269"/>
      <c r="G77" s="245">
        <f t="shared" si="17"/>
        <v>10</v>
      </c>
      <c r="H77" s="245">
        <f t="shared" si="17"/>
        <v>10</v>
      </c>
      <c r="I77" s="245">
        <f t="shared" si="18"/>
        <v>0</v>
      </c>
      <c r="J77" s="224">
        <f t="shared" si="19"/>
        <v>0</v>
      </c>
      <c r="K77" s="224">
        <f t="shared" si="20"/>
        <v>10</v>
      </c>
      <c r="L77" s="224">
        <f t="shared" si="21"/>
        <v>10</v>
      </c>
      <c r="M77" s="246">
        <f t="shared" si="22"/>
        <v>10</v>
      </c>
      <c r="N77" s="246">
        <f t="shared" si="23"/>
        <v>10</v>
      </c>
    </row>
    <row r="78" spans="1:22" s="247" customFormat="1">
      <c r="B78" s="269" t="str">
        <f t="shared" si="16"/>
        <v>Calf sf</v>
      </c>
      <c r="C78" s="269"/>
      <c r="D78" s="269"/>
      <c r="E78" s="269"/>
      <c r="F78" s="269"/>
      <c r="G78" s="245">
        <f t="shared" si="17"/>
        <v>7</v>
      </c>
      <c r="H78" s="245">
        <f t="shared" si="17"/>
        <v>7</v>
      </c>
      <c r="I78" s="245">
        <f t="shared" si="18"/>
        <v>0</v>
      </c>
      <c r="J78" s="224">
        <f t="shared" si="19"/>
        <v>0</v>
      </c>
      <c r="K78" s="224">
        <f t="shared" si="20"/>
        <v>7</v>
      </c>
      <c r="L78" s="224">
        <f t="shared" si="21"/>
        <v>7</v>
      </c>
      <c r="M78" s="246">
        <f t="shared" si="22"/>
        <v>7</v>
      </c>
      <c r="N78" s="246">
        <f t="shared" si="23"/>
        <v>7</v>
      </c>
    </row>
    <row r="79" spans="1:22" s="247" customFormat="1">
      <c r="B79" s="269" t="str">
        <f t="shared" si="16"/>
        <v>Arm girth relaxed</v>
      </c>
      <c r="C79" s="269"/>
      <c r="D79" s="269"/>
      <c r="E79" s="269"/>
      <c r="F79" s="269"/>
      <c r="G79" s="245">
        <f t="shared" si="17"/>
        <v>30.5</v>
      </c>
      <c r="H79" s="245">
        <f t="shared" si="17"/>
        <v>30.5</v>
      </c>
      <c r="I79" s="245">
        <f t="shared" si="18"/>
        <v>0</v>
      </c>
      <c r="J79" s="224">
        <f t="shared" si="19"/>
        <v>0</v>
      </c>
      <c r="K79" s="224">
        <f t="shared" si="20"/>
        <v>30.5</v>
      </c>
      <c r="L79" s="224">
        <f t="shared" si="21"/>
        <v>30.5</v>
      </c>
      <c r="M79" s="246">
        <f t="shared" si="22"/>
        <v>30.5</v>
      </c>
      <c r="N79" s="246">
        <f t="shared" si="23"/>
        <v>30.5</v>
      </c>
    </row>
    <row r="80" spans="1:22" s="247" customFormat="1">
      <c r="B80" s="269" t="str">
        <f>B27</f>
        <v>Arm girth flexed and tensed</v>
      </c>
      <c r="C80" s="269"/>
      <c r="D80" s="269"/>
      <c r="E80" s="269"/>
      <c r="F80" s="269"/>
      <c r="G80" s="245">
        <f t="shared" ref="G80:H83" si="24">+G27</f>
        <v>32.799999999999997</v>
      </c>
      <c r="H80" s="245">
        <f t="shared" si="24"/>
        <v>33</v>
      </c>
      <c r="I80" s="245">
        <f>+I27</f>
        <v>33</v>
      </c>
      <c r="J80" s="224">
        <f t="shared" si="19"/>
        <v>0.20000000000000284</v>
      </c>
      <c r="K80" s="224">
        <f t="shared" si="20"/>
        <v>0.20000000000000284</v>
      </c>
      <c r="L80" s="224">
        <f t="shared" si="21"/>
        <v>0</v>
      </c>
      <c r="M80" s="246">
        <f t="shared" si="22"/>
        <v>33</v>
      </c>
      <c r="N80" s="246">
        <f t="shared" si="23"/>
        <v>33</v>
      </c>
    </row>
    <row r="81" spans="1:14" s="247" customFormat="1">
      <c r="B81" s="269" t="str">
        <f>B28</f>
        <v>Waist girth</v>
      </c>
      <c r="C81" s="269"/>
      <c r="D81" s="269"/>
      <c r="E81" s="269"/>
      <c r="F81" s="269"/>
      <c r="G81" s="245">
        <f t="shared" si="24"/>
        <v>78</v>
      </c>
      <c r="H81" s="245">
        <f t="shared" si="24"/>
        <v>78</v>
      </c>
      <c r="I81" s="245">
        <f>+I28</f>
        <v>0</v>
      </c>
      <c r="J81" s="224">
        <f t="shared" si="19"/>
        <v>0</v>
      </c>
      <c r="K81" s="224">
        <f t="shared" si="20"/>
        <v>78</v>
      </c>
      <c r="L81" s="224">
        <f t="shared" si="21"/>
        <v>78</v>
      </c>
      <c r="M81" s="246">
        <f t="shared" si="22"/>
        <v>78</v>
      </c>
      <c r="N81" s="246">
        <f t="shared" si="23"/>
        <v>78</v>
      </c>
    </row>
    <row r="82" spans="1:14" s="247" customFormat="1">
      <c r="B82" s="269" t="str">
        <f>B29</f>
        <v>Hips girth</v>
      </c>
      <c r="C82" s="269"/>
      <c r="D82" s="269"/>
      <c r="E82" s="269"/>
      <c r="F82" s="269"/>
      <c r="G82" s="245">
        <f t="shared" si="24"/>
        <v>91.5</v>
      </c>
      <c r="H82" s="245">
        <f t="shared" si="24"/>
        <v>91.5</v>
      </c>
      <c r="I82" s="245">
        <f>+I29</f>
        <v>0</v>
      </c>
      <c r="J82" s="224">
        <f t="shared" si="19"/>
        <v>0</v>
      </c>
      <c r="K82" s="224">
        <f t="shared" si="20"/>
        <v>91.5</v>
      </c>
      <c r="L82" s="224">
        <f t="shared" si="21"/>
        <v>91.5</v>
      </c>
      <c r="M82" s="246">
        <f t="shared" si="22"/>
        <v>91.5</v>
      </c>
      <c r="N82" s="246">
        <f t="shared" si="23"/>
        <v>91.5</v>
      </c>
    </row>
    <row r="83" spans="1:14">
      <c r="A83" s="247"/>
      <c r="B83" s="269" t="str">
        <f>B30</f>
        <v>Thigh middle girth</v>
      </c>
      <c r="C83" s="269"/>
      <c r="D83" s="269"/>
      <c r="E83" s="269"/>
      <c r="F83" s="269"/>
      <c r="G83" s="245">
        <f t="shared" si="24"/>
        <v>49</v>
      </c>
      <c r="H83" s="245">
        <f t="shared" si="24"/>
        <v>49</v>
      </c>
      <c r="I83" s="245">
        <f>+I30</f>
        <v>0</v>
      </c>
      <c r="J83" s="224">
        <f t="shared" si="19"/>
        <v>0</v>
      </c>
      <c r="K83" s="224">
        <f t="shared" si="20"/>
        <v>49</v>
      </c>
      <c r="L83" s="224">
        <f t="shared" si="21"/>
        <v>49</v>
      </c>
      <c r="M83" s="246">
        <f t="shared" si="22"/>
        <v>49</v>
      </c>
      <c r="N83" s="246">
        <f t="shared" si="23"/>
        <v>49</v>
      </c>
    </row>
    <row r="84" spans="1:14">
      <c r="B84" s="269" t="str">
        <f>B32</f>
        <v>Calf girth</v>
      </c>
      <c r="C84" s="269"/>
      <c r="D84" s="269"/>
      <c r="E84" s="269"/>
      <c r="F84" s="269"/>
      <c r="G84" s="245">
        <f>+G32</f>
        <v>34</v>
      </c>
      <c r="H84" s="245">
        <f>+H32</f>
        <v>34</v>
      </c>
      <c r="I84" s="245">
        <f>+I32</f>
        <v>0</v>
      </c>
      <c r="J84" s="224">
        <f t="shared" si="19"/>
        <v>0</v>
      </c>
      <c r="K84" s="224">
        <f t="shared" si="20"/>
        <v>34</v>
      </c>
      <c r="L84" s="224">
        <f t="shared" si="21"/>
        <v>34</v>
      </c>
      <c r="M84" s="246">
        <f t="shared" si="22"/>
        <v>34</v>
      </c>
      <c r="N84" s="246">
        <f t="shared" si="23"/>
        <v>34</v>
      </c>
    </row>
    <row r="85" spans="1:14">
      <c r="B85" s="269" t="str">
        <f>B34</f>
        <v>Humerus breadth</v>
      </c>
      <c r="C85" s="269"/>
      <c r="D85" s="269"/>
      <c r="E85" s="269"/>
      <c r="F85" s="269"/>
      <c r="G85" s="245">
        <f t="shared" ref="G85:H87" si="25">+G34</f>
        <v>6.6</v>
      </c>
      <c r="H85" s="245">
        <f t="shared" si="25"/>
        <v>6.6</v>
      </c>
      <c r="I85" s="245">
        <f>+I34</f>
        <v>0</v>
      </c>
      <c r="J85" s="224">
        <f t="shared" si="19"/>
        <v>0</v>
      </c>
      <c r="K85" s="224">
        <f t="shared" si="20"/>
        <v>6.6</v>
      </c>
      <c r="L85" s="224">
        <f t="shared" si="21"/>
        <v>6.6</v>
      </c>
      <c r="M85" s="246">
        <f t="shared" si="22"/>
        <v>6.6</v>
      </c>
      <c r="N85" s="246">
        <f t="shared" si="23"/>
        <v>6.6</v>
      </c>
    </row>
    <row r="86" spans="1:14">
      <c r="B86" s="269" t="str">
        <f>B35</f>
        <v>Bi-styloid breadth</v>
      </c>
      <c r="C86" s="269"/>
      <c r="D86" s="269"/>
      <c r="E86" s="269"/>
      <c r="F86" s="269"/>
      <c r="G86" s="245">
        <f t="shared" si="25"/>
        <v>6</v>
      </c>
      <c r="H86" s="245">
        <f t="shared" si="25"/>
        <v>6</v>
      </c>
      <c r="I86" s="245">
        <f>+I35</f>
        <v>0</v>
      </c>
      <c r="J86" s="224">
        <f t="shared" si="19"/>
        <v>0</v>
      </c>
      <c r="K86" s="224">
        <f t="shared" si="20"/>
        <v>6</v>
      </c>
      <c r="L86" s="224">
        <f t="shared" si="21"/>
        <v>6</v>
      </c>
      <c r="M86" s="246">
        <f t="shared" si="22"/>
        <v>6</v>
      </c>
      <c r="N86" s="246">
        <f t="shared" si="23"/>
        <v>6</v>
      </c>
    </row>
    <row r="87" spans="1:14">
      <c r="B87" s="269" t="str">
        <f>B36</f>
        <v>Femur breadth</v>
      </c>
      <c r="C87" s="269"/>
      <c r="D87" s="269"/>
      <c r="E87" s="269"/>
      <c r="F87" s="269"/>
      <c r="G87" s="245">
        <f t="shared" si="25"/>
        <v>9.6999999999999993</v>
      </c>
      <c r="H87" s="245">
        <f t="shared" si="25"/>
        <v>9.6999999999999993</v>
      </c>
      <c r="I87" s="245">
        <f>+I36</f>
        <v>0</v>
      </c>
      <c r="J87" s="224">
        <f t="shared" si="19"/>
        <v>0</v>
      </c>
      <c r="K87" s="224">
        <f t="shared" si="20"/>
        <v>9.6999999999999993</v>
      </c>
      <c r="L87" s="224">
        <f t="shared" si="21"/>
        <v>9.6999999999999993</v>
      </c>
      <c r="M87" s="246">
        <f t="shared" si="22"/>
        <v>9.6999999999999993</v>
      </c>
      <c r="N87" s="246">
        <f t="shared" si="23"/>
        <v>9.6999999999999993</v>
      </c>
    </row>
    <row r="88" spans="1:14">
      <c r="M88" s="103"/>
      <c r="N88" s="103"/>
    </row>
    <row r="89" spans="1:14">
      <c r="M89" s="103"/>
      <c r="N89" s="103"/>
    </row>
    <row r="90" spans="1:14">
      <c r="M90" s="103"/>
      <c r="N90" s="103"/>
    </row>
    <row r="91" spans="1:14">
      <c r="M91" s="103"/>
      <c r="N91" s="103"/>
    </row>
  </sheetData>
  <sheetProtection algorithmName="SHA-512" hashValue="Ju+pB4YaMUlrA5FJOvUK/hbnVZbiOi9YCxrrh4+lv/RQhDSee84yZzSJLdDg0vnbTn/N0vxZwh7TFUgdBGk98A==" saltValue="TAuhCrJ0d+W50y5XhH1BV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A91"/>
  <sheetViews>
    <sheetView zoomScaleNormal="75" zoomScaleSheetLayoutView="75" workbookViewId="0">
      <selection activeCell="G10" sqref="G10"/>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58</v>
      </c>
      <c r="H4" s="71"/>
      <c r="I4" s="72"/>
      <c r="J4" s="118"/>
      <c r="K4" s="118"/>
      <c r="L4" s="111"/>
      <c r="M4" s="111"/>
      <c r="N4" s="111"/>
      <c r="O4" s="104"/>
      <c r="P4" s="104"/>
      <c r="Q4" s="113"/>
      <c r="R4" s="105" t="str">
        <f t="shared" ref="R4:R11" si="0">+B4</f>
        <v>Name</v>
      </c>
      <c r="S4" s="119"/>
      <c r="T4" s="119"/>
      <c r="U4" s="120" t="str">
        <f t="shared" ref="U4:U11" si="1">+G4</f>
        <v xml:space="preserve">Nicolas </v>
      </c>
      <c r="V4" s="107"/>
      <c r="W4" s="107"/>
      <c r="X4" s="121"/>
      <c r="Y4" s="107"/>
      <c r="Z4" s="108"/>
      <c r="AA4" s="115"/>
    </row>
    <row r="5" spans="1:27" s="109" customFormat="1">
      <c r="B5" s="116" t="str">
        <f>IF(Info!D34,"Surname","Apellidos")</f>
        <v>Surname</v>
      </c>
      <c r="C5" s="116"/>
      <c r="D5" s="116"/>
      <c r="E5" s="110"/>
      <c r="F5" s="112"/>
      <c r="G5" s="81" t="s">
        <v>59</v>
      </c>
      <c r="H5" s="73"/>
      <c r="I5" s="74"/>
      <c r="J5" s="122"/>
      <c r="K5" s="122"/>
      <c r="L5" s="122"/>
      <c r="M5" s="122"/>
      <c r="N5" s="123"/>
      <c r="O5" s="104"/>
      <c r="P5" s="104"/>
      <c r="Q5" s="113"/>
      <c r="R5" s="113" t="str">
        <f t="shared" si="0"/>
        <v>Surname</v>
      </c>
      <c r="S5" s="124"/>
      <c r="T5" s="124"/>
      <c r="U5" s="125" t="str">
        <f t="shared" si="1"/>
        <v>Gamio</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65</v>
      </c>
      <c r="H9" s="75"/>
      <c r="I9" s="76"/>
      <c r="J9" s="111"/>
      <c r="K9" s="111"/>
      <c r="L9" s="111"/>
      <c r="M9" s="111"/>
      <c r="N9" s="111"/>
      <c r="O9" s="104"/>
      <c r="P9" s="104"/>
      <c r="Q9" s="113"/>
      <c r="R9" s="113" t="str">
        <f t="shared" si="0"/>
        <v>Sport</v>
      </c>
      <c r="S9" s="124"/>
      <c r="T9" s="124"/>
      <c r="U9" s="125" t="str">
        <f t="shared" si="1"/>
        <v>Natural Bodybuilding</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44336</v>
      </c>
      <c r="H10" s="76"/>
      <c r="I10" s="76"/>
      <c r="J10" s="111"/>
      <c r="K10" s="111"/>
      <c r="L10" s="111"/>
      <c r="M10" s="111"/>
      <c r="N10" s="122"/>
      <c r="O10" s="104"/>
      <c r="P10" s="104"/>
      <c r="Q10" s="113"/>
      <c r="R10" s="113" t="str">
        <f t="shared" si="0"/>
        <v>Date of Measurement</v>
      </c>
      <c r="S10" s="124"/>
      <c r="T10" s="124"/>
      <c r="U10" s="131">
        <f t="shared" si="1"/>
        <v>44336</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35487</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35487</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83.6</v>
      </c>
      <c r="H13" s="84">
        <v>83.6</v>
      </c>
      <c r="I13" s="84"/>
      <c r="J13" s="150"/>
      <c r="K13" s="151">
        <f>+(H13-G13)/(AVERAGE(G13:H13))</f>
        <v>0</v>
      </c>
      <c r="L13" s="152" t="str">
        <f>IF(ABS(K13)&gt;1%,"Yes","No")</f>
        <v>No</v>
      </c>
      <c r="M13" s="150"/>
      <c r="N13" s="153">
        <f t="shared" ref="N13:N25" si="2">IF(I13=0,AVERAGE(G13,H13),MEDIAN(G13,H13,I13))</f>
        <v>83.6</v>
      </c>
      <c r="O13" s="154"/>
      <c r="P13" s="154"/>
      <c r="Q13" s="155"/>
      <c r="R13" s="156" t="str">
        <f t="shared" ref="R13:R36" si="3">+B13</f>
        <v>Mass</v>
      </c>
      <c r="S13" s="157"/>
      <c r="T13" s="157"/>
      <c r="U13" s="158">
        <f t="shared" ref="U13:U25" si="4">+N13</f>
        <v>83.6</v>
      </c>
      <c r="V13" s="159" t="s">
        <v>25</v>
      </c>
      <c r="W13" s="160">
        <f>1/8.6*(+U13*((170.18/U$14)^3)-64.58)</f>
        <v>0.30841773405340128</v>
      </c>
      <c r="X13" s="121"/>
      <c r="Y13" s="107"/>
      <c r="Z13" s="108"/>
      <c r="AA13" s="115"/>
    </row>
    <row r="14" spans="1:27" s="109" customFormat="1">
      <c r="B14" s="161" t="str">
        <f>IF(Info!D34,"Stature","Talla")</f>
        <v>Stature</v>
      </c>
      <c r="C14" s="116"/>
      <c r="D14" s="116"/>
      <c r="E14" s="122"/>
      <c r="F14" s="110"/>
      <c r="G14" s="85">
        <v>183</v>
      </c>
      <c r="H14" s="85">
        <v>183</v>
      </c>
      <c r="I14" s="85"/>
      <c r="J14" s="134"/>
      <c r="K14" s="162">
        <f t="shared" ref="K14:K34" si="5">+(H14-G14)/(AVERAGE(G14:H14))</f>
        <v>0</v>
      </c>
      <c r="L14" s="163" t="str">
        <f>IF(ABS(K14)&gt;1%,"Yes","No")</f>
        <v>No</v>
      </c>
      <c r="M14" s="134"/>
      <c r="N14" s="164">
        <f t="shared" si="2"/>
        <v>183</v>
      </c>
      <c r="O14" s="154"/>
      <c r="P14" s="154"/>
      <c r="Q14" s="155"/>
      <c r="R14" s="155" t="str">
        <f t="shared" si="3"/>
        <v>Stature</v>
      </c>
      <c r="S14" s="165"/>
      <c r="T14" s="165"/>
      <c r="U14" s="166">
        <f t="shared" si="4"/>
        <v>183</v>
      </c>
      <c r="V14" s="167" t="s">
        <v>26</v>
      </c>
      <c r="W14" s="132"/>
      <c r="X14" s="132"/>
      <c r="Y14" s="133"/>
      <c r="Z14" s="115"/>
      <c r="AA14" s="115"/>
    </row>
    <row r="15" spans="1:27" s="109" customFormat="1">
      <c r="B15" s="161" t="str">
        <f>IF(Info!D34,"Sitting height","Talla sentado")</f>
        <v>Sitting height</v>
      </c>
      <c r="C15" s="116"/>
      <c r="D15" s="116"/>
      <c r="E15" s="122"/>
      <c r="F15" s="110"/>
      <c r="G15" s="87">
        <v>115</v>
      </c>
      <c r="H15" s="87">
        <v>115</v>
      </c>
      <c r="I15" s="87"/>
      <c r="J15" s="134"/>
      <c r="K15" s="162">
        <f t="shared" si="5"/>
        <v>0</v>
      </c>
      <c r="L15" s="163" t="str">
        <f>IF(ABS(K15)&gt;1%,"Yes","No")</f>
        <v>No</v>
      </c>
      <c r="M15" s="134"/>
      <c r="N15" s="164">
        <f t="shared" si="2"/>
        <v>115</v>
      </c>
      <c r="O15" s="154"/>
      <c r="P15" s="154"/>
      <c r="Q15" s="155"/>
      <c r="R15" s="155" t="str">
        <f t="shared" si="3"/>
        <v>Sitting height</v>
      </c>
      <c r="S15" s="165"/>
      <c r="T15" s="165"/>
      <c r="U15" s="166">
        <f t="shared" si="4"/>
        <v>115</v>
      </c>
      <c r="V15" s="167" t="s">
        <v>26</v>
      </c>
      <c r="W15" s="32">
        <f>1/4.5*(+U15*((170.18/U$14)^1)-89.92)</f>
        <v>3.7830479659987852</v>
      </c>
      <c r="X15" s="132"/>
      <c r="Y15" s="133"/>
      <c r="Z15" s="115"/>
      <c r="AA15" s="115"/>
    </row>
    <row r="16" spans="1:27" s="109" customFormat="1" ht="13.8" thickBot="1">
      <c r="B16" s="161" t="str">
        <f>IF(Info!D34,"Arm Span","Envergadura de brazos")</f>
        <v>Arm Span</v>
      </c>
      <c r="C16" s="116"/>
      <c r="D16" s="116"/>
      <c r="E16" s="122"/>
      <c r="F16" s="110"/>
      <c r="G16" s="87">
        <v>179.5</v>
      </c>
      <c r="H16" s="87">
        <v>179.5</v>
      </c>
      <c r="I16" s="87"/>
      <c r="J16" s="134"/>
      <c r="K16" s="162">
        <f t="shared" si="5"/>
        <v>0</v>
      </c>
      <c r="L16" s="163" t="str">
        <f>IF(ABS(K16)&gt;1%,"Yes","No")</f>
        <v>No</v>
      </c>
      <c r="M16" s="134"/>
      <c r="N16" s="164">
        <f t="shared" si="2"/>
        <v>179.5</v>
      </c>
      <c r="O16" s="154"/>
      <c r="P16" s="154"/>
      <c r="Q16" s="155"/>
      <c r="R16" s="168" t="str">
        <f t="shared" si="3"/>
        <v>Arm Span</v>
      </c>
      <c r="S16" s="169"/>
      <c r="T16" s="169"/>
      <c r="U16" s="170">
        <f t="shared" si="4"/>
        <v>179.5</v>
      </c>
      <c r="V16" s="171" t="s">
        <v>26</v>
      </c>
      <c r="W16" s="33">
        <f>1/7.41*(+U16*((170.18/U$14)^1)-172.35)</f>
        <v>-0.73209294779613943</v>
      </c>
      <c r="X16" s="172"/>
      <c r="Y16" s="173"/>
      <c r="Z16" s="174"/>
      <c r="AA16" s="115"/>
    </row>
    <row r="17" spans="1:27" ht="18" customHeight="1" thickTop="1">
      <c r="A17" s="109"/>
      <c r="B17" s="146" t="str">
        <f>IF(Info!D34,"Triceps sf","PL Tríceps")</f>
        <v>Triceps sf</v>
      </c>
      <c r="C17" s="147"/>
      <c r="D17" s="147"/>
      <c r="E17" s="148"/>
      <c r="F17" s="149"/>
      <c r="G17" s="84">
        <v>5</v>
      </c>
      <c r="H17" s="84">
        <v>5</v>
      </c>
      <c r="I17" s="84"/>
      <c r="J17" s="150"/>
      <c r="K17" s="151">
        <f t="shared" si="5"/>
        <v>0</v>
      </c>
      <c r="L17" s="152" t="str">
        <f t="shared" ref="L17:L24" si="6">IF(ABS(K17)&gt;5%,"Yes","No")</f>
        <v>No</v>
      </c>
      <c r="M17" s="150"/>
      <c r="N17" s="153">
        <f t="shared" si="2"/>
        <v>5</v>
      </c>
      <c r="O17" s="154"/>
      <c r="P17" s="154"/>
      <c r="Q17" s="155"/>
      <c r="R17" s="156" t="str">
        <f t="shared" si="3"/>
        <v>Triceps sf</v>
      </c>
      <c r="S17" s="157"/>
      <c r="T17" s="157"/>
      <c r="U17" s="175">
        <f t="shared" si="4"/>
        <v>5</v>
      </c>
      <c r="V17" s="176" t="s">
        <v>27</v>
      </c>
      <c r="W17" s="177">
        <f>1/4.47*(+U17*((170.18/U$14)^1)-15.4)</f>
        <v>-2.4049828241708542</v>
      </c>
      <c r="X17" s="178"/>
      <c r="Y17" s="176"/>
      <c r="Z17" s="179"/>
      <c r="AA17" s="145"/>
    </row>
    <row r="18" spans="1:27" ht="18" customHeight="1">
      <c r="B18" s="161" t="str">
        <f>IF(Info!D34,"Subscapular sf","PL Subescapular")</f>
        <v>Subscapular sf</v>
      </c>
      <c r="C18" s="116"/>
      <c r="D18" s="116"/>
      <c r="E18" s="122"/>
      <c r="F18" s="110"/>
      <c r="G18" s="85">
        <v>6.5</v>
      </c>
      <c r="H18" s="85">
        <v>6.5</v>
      </c>
      <c r="I18" s="85"/>
      <c r="J18" s="134"/>
      <c r="K18" s="162">
        <f t="shared" si="5"/>
        <v>0</v>
      </c>
      <c r="L18" s="163" t="str">
        <f t="shared" si="6"/>
        <v>No</v>
      </c>
      <c r="M18" s="134"/>
      <c r="N18" s="164">
        <f t="shared" si="2"/>
        <v>6.5</v>
      </c>
      <c r="O18" s="154"/>
      <c r="P18" s="154"/>
      <c r="Q18" s="155"/>
      <c r="R18" s="155" t="str">
        <f t="shared" si="3"/>
        <v>Subscapular sf</v>
      </c>
      <c r="S18" s="165"/>
      <c r="T18" s="165"/>
      <c r="U18" s="180">
        <f t="shared" si="4"/>
        <v>6.5</v>
      </c>
      <c r="V18" s="143" t="s">
        <v>27</v>
      </c>
      <c r="W18" s="32">
        <f>1/5.07*(+U18*((170.18/U$14)^1)-17.2)</f>
        <v>-2.2002672961058831</v>
      </c>
      <c r="X18" s="181"/>
      <c r="Y18" s="143"/>
      <c r="Z18" s="145"/>
      <c r="AA18" s="145"/>
    </row>
    <row r="19" spans="1:27" ht="18" customHeight="1">
      <c r="B19" s="161" t="str">
        <f>IF(Info!D34,"Biceps sf","PL Bíceps")</f>
        <v>Biceps sf</v>
      </c>
      <c r="C19" s="116"/>
      <c r="D19" s="116"/>
      <c r="E19" s="122"/>
      <c r="F19" s="110"/>
      <c r="G19" s="85">
        <v>1</v>
      </c>
      <c r="H19" s="85">
        <v>1</v>
      </c>
      <c r="I19" s="85"/>
      <c r="J19" s="134"/>
      <c r="K19" s="182">
        <f t="shared" si="5"/>
        <v>0</v>
      </c>
      <c r="L19" s="163" t="str">
        <f t="shared" si="6"/>
        <v>No</v>
      </c>
      <c r="M19" s="134"/>
      <c r="N19" s="164">
        <f t="shared" si="2"/>
        <v>1</v>
      </c>
      <c r="O19" s="154"/>
      <c r="P19" s="154"/>
      <c r="Q19" s="155"/>
      <c r="R19" s="155" t="str">
        <f t="shared" si="3"/>
        <v>Biceps sf</v>
      </c>
      <c r="S19" s="165"/>
      <c r="T19" s="165"/>
      <c r="U19" s="180">
        <f t="shared" si="4"/>
        <v>1</v>
      </c>
      <c r="V19" s="143" t="s">
        <v>27</v>
      </c>
      <c r="W19" s="32">
        <f>1/2*(+U19*((170.18/U$14)^1)-8)</f>
        <v>-3.5350273224043716</v>
      </c>
      <c r="X19" s="181"/>
      <c r="Y19" s="143"/>
      <c r="Z19" s="145"/>
      <c r="AA19" s="145"/>
    </row>
    <row r="20" spans="1:27" ht="18" customHeight="1">
      <c r="B20" s="161" t="str">
        <f>IF(Info!D34,"Iliac crest sf","PL Cresta Iliaca")</f>
        <v>Iliac crest sf</v>
      </c>
      <c r="C20" s="116"/>
      <c r="D20" s="116"/>
      <c r="E20" s="122"/>
      <c r="F20" s="110"/>
      <c r="G20" s="85">
        <v>5.5</v>
      </c>
      <c r="H20" s="85">
        <v>5.5</v>
      </c>
      <c r="I20" s="85"/>
      <c r="J20" s="134"/>
      <c r="K20" s="182">
        <f t="shared" si="5"/>
        <v>0</v>
      </c>
      <c r="L20" s="163" t="str">
        <f t="shared" si="6"/>
        <v>No</v>
      </c>
      <c r="M20" s="134"/>
      <c r="N20" s="164">
        <f t="shared" si="2"/>
        <v>5.5</v>
      </c>
      <c r="O20" s="154"/>
      <c r="P20" s="154"/>
      <c r="Q20" s="155"/>
      <c r="R20" s="155" t="str">
        <f t="shared" si="3"/>
        <v>Iliac crest sf</v>
      </c>
      <c r="S20" s="165"/>
      <c r="T20" s="165"/>
      <c r="U20" s="180">
        <f t="shared" si="4"/>
        <v>5.5</v>
      </c>
      <c r="V20" s="143" t="s">
        <v>28</v>
      </c>
      <c r="W20" s="32">
        <f>1/6.8*(+U20*((170.18/U$14)^1)-22.4)</f>
        <v>-2.5419559627129535</v>
      </c>
      <c r="X20" s="181"/>
      <c r="Y20" s="143"/>
      <c r="Z20" s="145"/>
      <c r="AA20" s="145"/>
    </row>
    <row r="21" spans="1:27" ht="18" customHeight="1">
      <c r="B21" s="161" t="str">
        <f>IF(Info!D34,"Supraspinale sf","PL Supraespinal")</f>
        <v>Supraspinale sf</v>
      </c>
      <c r="C21" s="116"/>
      <c r="D21" s="116"/>
      <c r="E21" s="122"/>
      <c r="F21" s="110"/>
      <c r="G21" s="85">
        <v>4.5</v>
      </c>
      <c r="H21" s="85">
        <v>4.5</v>
      </c>
      <c r="I21" s="85"/>
      <c r="J21" s="134"/>
      <c r="K21" s="162">
        <f t="shared" si="5"/>
        <v>0</v>
      </c>
      <c r="L21" s="163" t="str">
        <f t="shared" si="6"/>
        <v>No</v>
      </c>
      <c r="M21" s="134"/>
      <c r="N21" s="164">
        <f t="shared" si="2"/>
        <v>4.5</v>
      </c>
      <c r="O21" s="154"/>
      <c r="P21" s="154"/>
      <c r="Q21" s="155"/>
      <c r="R21" s="155" t="str">
        <f t="shared" si="3"/>
        <v>Supraspinale sf</v>
      </c>
      <c r="S21" s="165"/>
      <c r="T21" s="165"/>
      <c r="U21" s="180">
        <f t="shared" si="4"/>
        <v>4.5</v>
      </c>
      <c r="V21" s="143" t="s">
        <v>27</v>
      </c>
      <c r="W21" s="32">
        <f>1/4.47*(+U21*((170.18/U$14)^1)-15.4)</f>
        <v>-2.5090035574137235</v>
      </c>
      <c r="X21" s="181"/>
      <c r="Y21" s="143"/>
      <c r="Z21" s="145"/>
      <c r="AA21" s="145"/>
    </row>
    <row r="22" spans="1:27" ht="18" customHeight="1">
      <c r="B22" s="161" t="str">
        <f>IF(Info!D34,"Abdominal sf","PL Abdominal")</f>
        <v>Abdominal sf</v>
      </c>
      <c r="C22" s="116"/>
      <c r="D22" s="116"/>
      <c r="E22" s="122"/>
      <c r="F22" s="110"/>
      <c r="G22" s="85">
        <v>4.5</v>
      </c>
      <c r="H22" s="85">
        <v>4.5</v>
      </c>
      <c r="I22" s="85"/>
      <c r="J22" s="134"/>
      <c r="K22" s="162">
        <f t="shared" si="5"/>
        <v>0</v>
      </c>
      <c r="L22" s="163" t="str">
        <f t="shared" si="6"/>
        <v>No</v>
      </c>
      <c r="M22" s="134"/>
      <c r="N22" s="164">
        <f t="shared" si="2"/>
        <v>4.5</v>
      </c>
      <c r="O22" s="154"/>
      <c r="P22" s="154"/>
      <c r="Q22" s="155"/>
      <c r="R22" s="155" t="str">
        <f t="shared" si="3"/>
        <v>Abdominal sf</v>
      </c>
      <c r="S22" s="165"/>
      <c r="T22" s="165"/>
      <c r="U22" s="180">
        <f t="shared" si="4"/>
        <v>4.5</v>
      </c>
      <c r="V22" s="143" t="s">
        <v>27</v>
      </c>
      <c r="W22" s="32">
        <f>1/7.78*(+U22*((170.18/U$14)^1)-25.4)</f>
        <v>-2.7268953601078842</v>
      </c>
      <c r="X22" s="181"/>
      <c r="Y22" s="143"/>
      <c r="Z22" s="145"/>
      <c r="AA22" s="145"/>
    </row>
    <row r="23" spans="1:27" ht="18" customHeight="1">
      <c r="B23" s="161" t="str">
        <f>IF(Info!D34,"Thigh sf","PL Muslo")</f>
        <v>Thigh sf</v>
      </c>
      <c r="C23" s="116"/>
      <c r="D23" s="116"/>
      <c r="E23" s="122"/>
      <c r="F23" s="110"/>
      <c r="G23" s="85">
        <v>8</v>
      </c>
      <c r="H23" s="85">
        <v>8</v>
      </c>
      <c r="I23" s="85"/>
      <c r="J23" s="134"/>
      <c r="K23" s="182">
        <f t="shared" si="5"/>
        <v>0</v>
      </c>
      <c r="L23" s="163" t="str">
        <f t="shared" si="6"/>
        <v>No</v>
      </c>
      <c r="M23" s="134"/>
      <c r="N23" s="164">
        <f t="shared" si="2"/>
        <v>8</v>
      </c>
      <c r="O23" s="154"/>
      <c r="P23" s="154"/>
      <c r="Q23" s="155"/>
      <c r="R23" s="155" t="str">
        <f t="shared" si="3"/>
        <v>Thigh sf</v>
      </c>
      <c r="S23" s="165"/>
      <c r="T23" s="165"/>
      <c r="U23" s="180">
        <f t="shared" si="4"/>
        <v>8</v>
      </c>
      <c r="V23" s="143" t="s">
        <v>27</v>
      </c>
      <c r="W23" s="32">
        <f>1/8.33*(+U23*((170.18/U$14)^1)-27)</f>
        <v>-2.3481917357106776</v>
      </c>
      <c r="X23" s="181"/>
      <c r="Y23" s="143"/>
      <c r="Z23" s="145"/>
      <c r="AA23" s="145"/>
    </row>
    <row r="24" spans="1:27" ht="18" customHeight="1" thickBot="1">
      <c r="B24" s="183" t="str">
        <f>IF(Info!D34,"Calf sf","PL Pierna")</f>
        <v>Calf sf</v>
      </c>
      <c r="C24" s="184"/>
      <c r="D24" s="184"/>
      <c r="E24" s="185"/>
      <c r="F24" s="186"/>
      <c r="G24" s="86">
        <v>5.5</v>
      </c>
      <c r="H24" s="86">
        <v>5.5</v>
      </c>
      <c r="I24" s="86"/>
      <c r="J24" s="187"/>
      <c r="K24" s="182">
        <f t="shared" si="5"/>
        <v>0</v>
      </c>
      <c r="L24" s="188" t="str">
        <f t="shared" si="6"/>
        <v>No</v>
      </c>
      <c r="M24" s="187"/>
      <c r="N24" s="189">
        <f t="shared" si="2"/>
        <v>5.5</v>
      </c>
      <c r="O24" s="154"/>
      <c r="P24" s="154"/>
      <c r="Q24" s="155"/>
      <c r="R24" s="168" t="str">
        <f t="shared" si="3"/>
        <v>Calf sf</v>
      </c>
      <c r="S24" s="169"/>
      <c r="T24" s="169"/>
      <c r="U24" s="170">
        <f t="shared" si="4"/>
        <v>5.5</v>
      </c>
      <c r="V24" s="173" t="s">
        <v>27</v>
      </c>
      <c r="W24" s="33">
        <f>1/4.67*(+U24*((170.18/U$14)^1)-16)</f>
        <v>-2.3308994746141516</v>
      </c>
      <c r="X24" s="172"/>
      <c r="Y24" s="173"/>
      <c r="Z24" s="174"/>
      <c r="AA24" s="145"/>
    </row>
    <row r="25" spans="1:27" ht="18" customHeight="1">
      <c r="B25" s="161" t="str">
        <f>IF(Info!D34,"Arm girth relaxed","PR Brazo relajado")</f>
        <v>Arm girth relaxed</v>
      </c>
      <c r="C25" s="116"/>
      <c r="D25" s="116"/>
      <c r="E25" s="122"/>
      <c r="F25" s="110"/>
      <c r="G25" s="85">
        <v>34</v>
      </c>
      <c r="H25" s="85">
        <v>34</v>
      </c>
      <c r="I25" s="85"/>
      <c r="J25" s="134"/>
      <c r="K25" s="151">
        <f t="shared" si="5"/>
        <v>0</v>
      </c>
      <c r="L25" s="163" t="str">
        <f>IF(ABS(K25)&gt;1%,"Yes","No")</f>
        <v>No</v>
      </c>
      <c r="M25" s="134"/>
      <c r="N25" s="164">
        <f t="shared" si="2"/>
        <v>34</v>
      </c>
      <c r="O25" s="154"/>
      <c r="P25" s="154"/>
      <c r="Q25" s="155"/>
      <c r="R25" s="155" t="str">
        <f t="shared" si="3"/>
        <v>Arm girth relaxed</v>
      </c>
      <c r="S25" s="165"/>
      <c r="T25" s="165"/>
      <c r="U25" s="180">
        <f t="shared" si="4"/>
        <v>34</v>
      </c>
      <c r="V25" s="143" t="s">
        <v>26</v>
      </c>
      <c r="W25" s="32">
        <f>1/2.33*(+U25*((170.18/U$14)^1)-26.89)</f>
        <v>2.0292455263960236</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32.429203673205102</v>
      </c>
      <c r="V26" s="143" t="s">
        <v>26</v>
      </c>
      <c r="W26" s="32">
        <f>1/1.91*(+U26*((170.18/U$14)^1)-22.05)</f>
        <v>4.2447054075645703</v>
      </c>
      <c r="X26" s="181"/>
      <c r="Y26" s="143"/>
      <c r="Z26" s="145"/>
      <c r="AA26" s="145"/>
    </row>
    <row r="27" spans="1:27" ht="18" customHeight="1">
      <c r="B27" s="199" t="str">
        <f>IF(Info!D34,"Arm girth flexed and tensed","PR Brazo flexionado y contraído")</f>
        <v>Arm girth flexed and tensed</v>
      </c>
      <c r="C27" s="116"/>
      <c r="D27" s="116"/>
      <c r="E27" s="122"/>
      <c r="F27" s="110"/>
      <c r="G27" s="85">
        <v>39</v>
      </c>
      <c r="H27" s="85">
        <v>39</v>
      </c>
      <c r="I27" s="85"/>
      <c r="J27" s="134"/>
      <c r="K27" s="182">
        <f t="shared" si="5"/>
        <v>0</v>
      </c>
      <c r="L27" s="163" t="str">
        <f>IF(ABS(K27)&gt;1%,"Yes","No")</f>
        <v>No</v>
      </c>
      <c r="M27" s="134"/>
      <c r="N27" s="164">
        <f>IF(I27=0,AVERAGE(G27,H27),MEDIAN(G27,H27,I27))</f>
        <v>39</v>
      </c>
      <c r="O27" s="154"/>
      <c r="P27" s="154"/>
      <c r="Q27" s="155"/>
      <c r="R27" s="155" t="str">
        <f t="shared" si="3"/>
        <v>Arm girth flexed and tensed</v>
      </c>
      <c r="S27" s="165"/>
      <c r="T27" s="165"/>
      <c r="U27" s="180">
        <f>+N27</f>
        <v>39</v>
      </c>
      <c r="V27" s="143" t="s">
        <v>26</v>
      </c>
      <c r="W27" s="32">
        <f>1/2.37*(+U27*((170.18/U$14)^1)-29.41)</f>
        <v>2.8936155495607663</v>
      </c>
      <c r="X27" s="181"/>
      <c r="Y27" s="143"/>
      <c r="Z27" s="145"/>
      <c r="AA27" s="145"/>
    </row>
    <row r="28" spans="1:27" ht="18" customHeight="1">
      <c r="B28" s="200" t="str">
        <f>IF(Info!D34,"Waist girth","PR Cintura")</f>
        <v>Waist girth</v>
      </c>
      <c r="C28" s="116"/>
      <c r="D28" s="116"/>
      <c r="E28" s="122"/>
      <c r="F28" s="110"/>
      <c r="G28" s="85">
        <v>78.7</v>
      </c>
      <c r="H28" s="85">
        <v>79</v>
      </c>
      <c r="I28" s="85">
        <v>78.8</v>
      </c>
      <c r="J28" s="134"/>
      <c r="K28" s="182">
        <f t="shared" si="5"/>
        <v>3.8046924540265973E-3</v>
      </c>
      <c r="L28" s="163" t="str">
        <f>IF(ABS(K28)&gt;1%,"Yes","No")</f>
        <v>No</v>
      </c>
      <c r="M28" s="134"/>
      <c r="N28" s="164">
        <f>IF(I28=0,AVERAGE(G28,H28),MEDIAN(G28,H28,I28))</f>
        <v>78.8</v>
      </c>
      <c r="O28" s="154"/>
      <c r="P28" s="154"/>
      <c r="Q28" s="155"/>
      <c r="R28" s="155" t="str">
        <f t="shared" si="3"/>
        <v>Waist girth</v>
      </c>
      <c r="S28" s="165"/>
      <c r="T28" s="165"/>
      <c r="U28" s="180">
        <f>+N28</f>
        <v>78.8</v>
      </c>
      <c r="V28" s="143" t="s">
        <v>26</v>
      </c>
      <c r="W28" s="32">
        <f>1/4.45*(+U28*((170.18/U$14)^1)-71.91)</f>
        <v>0.30779640203843556</v>
      </c>
      <c r="X28" s="181"/>
      <c r="Y28" s="143"/>
      <c r="Z28" s="145"/>
      <c r="AA28" s="145"/>
    </row>
    <row r="29" spans="1:27" ht="18" customHeight="1">
      <c r="B29" s="200" t="str">
        <f>IF(Info!D34,"Hips girth","PR Caderas")</f>
        <v>Hips girth</v>
      </c>
      <c r="C29" s="116"/>
      <c r="D29" s="116"/>
      <c r="E29" s="122"/>
      <c r="F29" s="110"/>
      <c r="G29" s="85">
        <v>95</v>
      </c>
      <c r="H29" s="85">
        <v>95</v>
      </c>
      <c r="I29" s="85"/>
      <c r="J29" s="134"/>
      <c r="K29" s="182">
        <f t="shared" si="5"/>
        <v>0</v>
      </c>
      <c r="L29" s="163" t="str">
        <f>IF(ABS(K29)&gt;1%,"Yes","No")</f>
        <v>No</v>
      </c>
      <c r="M29" s="134"/>
      <c r="N29" s="164">
        <f>IF(I29=0,AVERAGE(G29,H29),MEDIAN(G29,H29,I29))</f>
        <v>95</v>
      </c>
      <c r="O29" s="154"/>
      <c r="P29" s="154"/>
      <c r="Q29" s="155"/>
      <c r="R29" s="155" t="str">
        <f t="shared" si="3"/>
        <v>Hips girth</v>
      </c>
      <c r="S29" s="165"/>
      <c r="T29" s="165"/>
      <c r="U29" s="180">
        <f>+N29</f>
        <v>95</v>
      </c>
      <c r="V29" s="143" t="s">
        <v>26</v>
      </c>
      <c r="W29" s="32">
        <f>1/5.58*(+U29*((170.18/U$14)^1)-94.67)</f>
        <v>-1.1335468202205363</v>
      </c>
      <c r="X29" s="181"/>
      <c r="Y29" s="143"/>
      <c r="Z29" s="145"/>
      <c r="AA29" s="145"/>
    </row>
    <row r="30" spans="1:27" ht="18" customHeight="1">
      <c r="B30" s="200" t="str">
        <f>IF(Info!D34,"Thigh middle girth","PR Muslo medio")</f>
        <v>Thigh middle girth</v>
      </c>
      <c r="C30" s="116"/>
      <c r="D30" s="116"/>
      <c r="E30" s="122"/>
      <c r="F30" s="110"/>
      <c r="G30" s="85">
        <v>55</v>
      </c>
      <c r="H30" s="85">
        <v>55.1</v>
      </c>
      <c r="I30" s="85"/>
      <c r="J30" s="134"/>
      <c r="K30" s="182">
        <f>+(H30-G30)/(AVERAGE(G30:H30))</f>
        <v>1.8165304268846763E-3</v>
      </c>
      <c r="L30" s="163" t="str">
        <f>IF(ABS(K30)&gt;1%,"Yes","No")</f>
        <v>No</v>
      </c>
      <c r="M30" s="134"/>
      <c r="N30" s="164">
        <f>IF(I30=0,AVERAGE(G30,H30),MEDIAN(G30,H30,I30))</f>
        <v>55.05</v>
      </c>
      <c r="O30" s="154"/>
      <c r="P30" s="154"/>
      <c r="Q30" s="155"/>
      <c r="R30" s="155" t="str">
        <f t="shared" si="3"/>
        <v>Thigh middle girth</v>
      </c>
      <c r="S30" s="165"/>
      <c r="T30" s="165"/>
      <c r="U30" s="180">
        <f>+N30</f>
        <v>55.05</v>
      </c>
      <c r="V30" s="143" t="s">
        <v>26</v>
      </c>
      <c r="W30" s="32">
        <f>1/4.56*(+U30*((170.18/U$14)^1)-53.2)</f>
        <v>-0.44002372735116518</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52.536725877128163</v>
      </c>
      <c r="V31" s="143" t="s">
        <v>26</v>
      </c>
      <c r="W31" s="32">
        <f>1/3.59*(+U31*((170.18/U$14)^1)-47.34)</f>
        <v>0.42236328868847872</v>
      </c>
      <c r="X31" s="181"/>
      <c r="Y31" s="143"/>
      <c r="Z31" s="145"/>
      <c r="AA31" s="145"/>
    </row>
    <row r="32" spans="1:27" ht="18" customHeight="1">
      <c r="B32" s="161" t="str">
        <f>IF(Info!D34,"Calf girth","PR Pierna")</f>
        <v>Calf girth</v>
      </c>
      <c r="C32" s="116"/>
      <c r="D32" s="116"/>
      <c r="E32" s="122"/>
      <c r="F32" s="110"/>
      <c r="G32" s="85">
        <v>36</v>
      </c>
      <c r="H32" s="85">
        <v>36</v>
      </c>
      <c r="I32" s="85"/>
      <c r="J32" s="134"/>
      <c r="K32" s="182">
        <f t="shared" si="5"/>
        <v>0</v>
      </c>
      <c r="L32" s="163" t="str">
        <f>IF(ABS(K32)&gt;1%,"Yes","No")</f>
        <v>No</v>
      </c>
      <c r="M32" s="134"/>
      <c r="N32" s="164">
        <f>IF(I32=0,AVERAGE(G32,H32),MEDIAN(G32,H32,I32))</f>
        <v>36</v>
      </c>
      <c r="O32" s="154"/>
      <c r="P32" s="154"/>
      <c r="Q32" s="155"/>
      <c r="R32" s="155" t="str">
        <f t="shared" si="3"/>
        <v>Calf girth</v>
      </c>
      <c r="S32" s="165"/>
      <c r="T32" s="165"/>
      <c r="U32" s="201">
        <f>+N32</f>
        <v>36</v>
      </c>
      <c r="V32" s="143" t="s">
        <v>26</v>
      </c>
      <c r="W32" s="32">
        <f>1/2.3*(+U32*((170.18/U$14)^1)-35.25)</f>
        <v>-0.77042052744119527</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34.272124040525611</v>
      </c>
      <c r="V33" s="173" t="s">
        <v>26</v>
      </c>
      <c r="W33" s="33">
        <f>1/1.97*(+U33*((170.18/U$14)^1)-30.22)</f>
        <v>0.83817389036822521</v>
      </c>
      <c r="X33" s="172"/>
      <c r="Y33" s="173"/>
      <c r="Z33" s="174"/>
      <c r="AA33" s="145"/>
    </row>
    <row r="34" spans="1:27" ht="18" customHeight="1" thickBot="1">
      <c r="B34" s="161" t="str">
        <f>IF(Info!D34,"Humerus breadth","D Húmero")</f>
        <v>Humerus breadth</v>
      </c>
      <c r="C34" s="116"/>
      <c r="D34" s="116"/>
      <c r="E34" s="122"/>
      <c r="F34" s="110"/>
      <c r="G34" s="87">
        <v>7.2</v>
      </c>
      <c r="H34" s="87">
        <v>7.2</v>
      </c>
      <c r="I34" s="87"/>
      <c r="J34" s="134"/>
      <c r="K34" s="151">
        <f t="shared" si="5"/>
        <v>0</v>
      </c>
      <c r="L34" s="209" t="str">
        <f>IF(ABS(K34)&gt;1%,"Yes","No")</f>
        <v>No</v>
      </c>
      <c r="M34" s="134"/>
      <c r="N34" s="210">
        <f>IF(I34=0,AVERAGE(G34,H34),MEDIAN(G34,H34,I34))</f>
        <v>7.2</v>
      </c>
      <c r="O34" s="154"/>
      <c r="P34" s="154"/>
      <c r="Q34" s="155"/>
      <c r="R34" s="155" t="str">
        <f t="shared" si="3"/>
        <v>Humerus breadth</v>
      </c>
      <c r="S34" s="165"/>
      <c r="T34" s="165"/>
      <c r="U34" s="180">
        <f>+N34</f>
        <v>7.2</v>
      </c>
      <c r="V34" s="143" t="s">
        <v>26</v>
      </c>
      <c r="W34" s="32">
        <f>1/0.35*(+U34*((170.18/U$14)^1)-6.48)</f>
        <v>0.61601873536299889</v>
      </c>
      <c r="X34" s="181"/>
      <c r="Y34" s="143"/>
      <c r="Z34" s="145"/>
      <c r="AA34" s="145"/>
    </row>
    <row r="35" spans="1:27" ht="18" customHeight="1">
      <c r="B35" s="161" t="str">
        <f>IF(Info!D34,"Bi-styloid breadth","D Biestiloideo")</f>
        <v>Bi-styloid breadth</v>
      </c>
      <c r="C35" s="116"/>
      <c r="D35" s="116"/>
      <c r="E35" s="122"/>
      <c r="F35" s="110"/>
      <c r="G35" s="91">
        <v>6.5</v>
      </c>
      <c r="H35" s="91">
        <v>6.5</v>
      </c>
      <c r="I35" s="91"/>
      <c r="J35" s="134"/>
      <c r="K35" s="151">
        <f>+(H35-G35)/(AVERAGE(G35:H35))</f>
        <v>0</v>
      </c>
      <c r="L35" s="209" t="str">
        <f>IF(ABS(K35)&gt;1%,"Yes","No")</f>
        <v>No</v>
      </c>
      <c r="M35" s="134"/>
      <c r="N35" s="210">
        <f>IF(I35=0,AVERAGE(G35,H35),MEDIAN(G35,H35,I35))</f>
        <v>6.5</v>
      </c>
      <c r="O35" s="154"/>
      <c r="P35" s="154"/>
      <c r="Q35" s="155"/>
      <c r="R35" s="155" t="str">
        <f t="shared" si="3"/>
        <v>Bi-styloid breadth</v>
      </c>
      <c r="S35" s="165"/>
      <c r="T35" s="165"/>
      <c r="U35" s="180">
        <f>+N35</f>
        <v>6.5</v>
      </c>
      <c r="V35" s="143" t="s">
        <v>26</v>
      </c>
      <c r="W35" s="32">
        <f>1/0.28*(+U35*((170.18/U$14)^1)-5.21)</f>
        <v>2.980874316939893</v>
      </c>
      <c r="X35" s="181"/>
      <c r="Y35" s="143"/>
      <c r="Z35" s="145"/>
      <c r="AA35" s="145"/>
    </row>
    <row r="36" spans="1:27" ht="18" customHeight="1" thickBot="1">
      <c r="B36" s="183" t="str">
        <f>IF(Info!D34,"Femur breadth","D Fémur")</f>
        <v>Femur breadth</v>
      </c>
      <c r="C36" s="184"/>
      <c r="D36" s="184"/>
      <c r="E36" s="185"/>
      <c r="F36" s="186"/>
      <c r="G36" s="86">
        <v>10.5</v>
      </c>
      <c r="H36" s="86">
        <v>10.5</v>
      </c>
      <c r="I36" s="86"/>
      <c r="J36" s="187"/>
      <c r="K36" s="182">
        <f>+(H36-G36)/(AVERAGE(G36:H36))</f>
        <v>0</v>
      </c>
      <c r="L36" s="188" t="str">
        <f>IF(ABS(K36)&gt;1%,"Yes","No")</f>
        <v>No</v>
      </c>
      <c r="M36" s="187"/>
      <c r="N36" s="189">
        <f>IF(I36=0,AVERAGE(G36,H36),MEDIAN(G36,H36,I36))</f>
        <v>10.5</v>
      </c>
      <c r="O36" s="154"/>
      <c r="P36" s="154"/>
      <c r="Q36" s="155"/>
      <c r="R36" s="211" t="str">
        <f t="shared" si="3"/>
        <v>Femur breadth</v>
      </c>
      <c r="S36" s="212"/>
      <c r="T36" s="212"/>
      <c r="U36" s="213">
        <f>+N36</f>
        <v>10.5</v>
      </c>
      <c r="V36" s="214" t="s">
        <v>26</v>
      </c>
      <c r="W36" s="215">
        <f>1/0.48*(+U36*((170.18/U$14)^1)-9.52)</f>
        <v>0.50922131147541261</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1.294828729235117</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5.9605499999999978</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2.0556250097824638</v>
      </c>
      <c r="V42" s="224">
        <f>U14/(U13^(1/3))</f>
        <v>41.851946734675494</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24.963420824748418</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0.82947368421052625</v>
      </c>
      <c r="V46" s="126"/>
      <c r="W46" s="233"/>
      <c r="X46" s="201"/>
      <c r="Y46" s="126"/>
      <c r="Z46" s="115"/>
      <c r="AA46" s="115"/>
    </row>
    <row r="47" spans="1:27" s="109" customFormat="1">
      <c r="A47" s="234"/>
      <c r="B47" s="223" t="str">
        <f t="shared" si="7"/>
        <v>Iliac crest sf</v>
      </c>
      <c r="C47" s="222"/>
      <c r="D47" s="223">
        <f t="shared" si="8"/>
        <v>1</v>
      </c>
      <c r="E47" s="223">
        <f t="shared" si="9"/>
        <v>0</v>
      </c>
      <c r="F47" s="223">
        <f t="shared" si="10"/>
        <v>0</v>
      </c>
      <c r="G47" s="223">
        <f t="shared" si="11"/>
        <v>0</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34</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40.5</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8.7175000000000011</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8.9194999999999993</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6.1533999999999995</v>
      </c>
      <c r="V53" s="227" t="str">
        <f>'3'!V53</f>
        <v>(Carter, from Yuhasz)</v>
      </c>
      <c r="X53" s="229"/>
      <c r="Y53" s="227"/>
      <c r="Z53" s="145"/>
      <c r="AA53" s="145"/>
    </row>
    <row r="54" spans="1:27">
      <c r="B54" s="223" t="str">
        <f t="shared" si="7"/>
        <v>Arm girth flexed and tensed</v>
      </c>
      <c r="C54" s="222"/>
      <c r="D54" s="223">
        <f t="shared" si="8"/>
        <v>1</v>
      </c>
      <c r="E54" s="223">
        <f t="shared" si="9"/>
        <v>0</v>
      </c>
      <c r="F54" s="223">
        <f t="shared" si="10"/>
        <v>0</v>
      </c>
      <c r="G54" s="223">
        <f t="shared" si="11"/>
        <v>0</v>
      </c>
      <c r="H54" s="222">
        <f t="shared" si="12"/>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44.592870485053538</v>
      </c>
      <c r="V54" s="239" t="str">
        <f>'3'!V54</f>
        <v>(Lee)</v>
      </c>
      <c r="X54" s="235"/>
      <c r="Y54" s="227"/>
      <c r="Z54" s="145"/>
      <c r="AA54" s="145"/>
    </row>
    <row r="55" spans="1:27">
      <c r="B55" s="223" t="str">
        <f t="shared" si="7"/>
        <v>Waist girth</v>
      </c>
      <c r="C55" s="222"/>
      <c r="D55" s="223">
        <f t="shared" si="8"/>
        <v>0</v>
      </c>
      <c r="E55" s="223">
        <f t="shared" si="9"/>
        <v>0</v>
      </c>
      <c r="F55" s="223">
        <f t="shared" si="10"/>
        <v>0</v>
      </c>
      <c r="G55" s="223">
        <f t="shared" si="11"/>
        <v>1</v>
      </c>
      <c r="H55" s="222">
        <f t="shared" si="12"/>
        <v>0</v>
      </c>
      <c r="I55" s="224">
        <f t="shared" si="13"/>
        <v>0</v>
      </c>
      <c r="J55" s="224">
        <f t="shared" si="13"/>
        <v>0</v>
      </c>
      <c r="K55" s="224"/>
      <c r="L55" s="224">
        <f>COUNTIF(L13:L36,"yes")</f>
        <v>0</v>
      </c>
      <c r="M55" s="224"/>
      <c r="N55" s="224"/>
      <c r="Q55" s="113"/>
      <c r="R55" s="113"/>
      <c r="U55" s="35">
        <f>(U14/100*((0.0064*(U26^2))+(0.0032*(U31^2))+(0.0015*(U33^2)))+(2.56*IF(U8=1,1,0))+(0.136*(U10-U11)/365.25))*100/U13</f>
        <v>44.927363139435336</v>
      </c>
      <c r="V55" s="239" t="str">
        <f>'3'!V55</f>
        <v>(Poortmans)</v>
      </c>
      <c r="X55" s="240"/>
      <c r="Y55" s="227"/>
      <c r="Z55" s="145"/>
      <c r="AA55" s="145"/>
    </row>
    <row r="56" spans="1:27">
      <c r="B56" s="223" t="str">
        <f t="shared" si="7"/>
        <v>Hips girth</v>
      </c>
      <c r="C56" s="222"/>
      <c r="D56" s="223">
        <f t="shared" si="8"/>
        <v>1</v>
      </c>
      <c r="E56" s="223">
        <f t="shared" si="9"/>
        <v>0</v>
      </c>
      <c r="F56" s="223">
        <f t="shared" si="10"/>
        <v>0</v>
      </c>
      <c r="G56" s="223">
        <f t="shared" si="11"/>
        <v>0</v>
      </c>
      <c r="H56" s="222">
        <f t="shared" si="12"/>
        <v>0</v>
      </c>
      <c r="I56" s="224">
        <f t="shared" si="13"/>
        <v>0</v>
      </c>
      <c r="J56" s="224">
        <f t="shared" si="13"/>
        <v>0</v>
      </c>
      <c r="K56" s="224"/>
      <c r="L56" s="224"/>
      <c r="M56" s="224"/>
      <c r="N56" s="224"/>
      <c r="Q56" s="113"/>
      <c r="R56" s="113"/>
      <c r="S56" s="226" t="str">
        <f>'3'!S56</f>
        <v>Bone percentage</v>
      </c>
      <c r="U56" s="35">
        <f>(3.02*(((U14/100)^2)*(U35/100)*(U36/100)*400)^0.712)*100/U13</f>
        <v>17.46139038503145</v>
      </c>
      <c r="V56" s="239" t="str">
        <f>'3'!V56</f>
        <v>(Rocha)</v>
      </c>
      <c r="W56" s="241"/>
      <c r="X56" s="233"/>
      <c r="Y56" s="227"/>
      <c r="Z56" s="145"/>
      <c r="AA56" s="145"/>
    </row>
    <row r="57" spans="1:27">
      <c r="B57" s="223" t="str">
        <f t="shared" si="7"/>
        <v>Thigh middle girth</v>
      </c>
      <c r="C57" s="222"/>
      <c r="D57" s="223">
        <f t="shared" si="8"/>
        <v>0</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19</v>
      </c>
      <c r="E64" s="223">
        <f t="shared" si="15"/>
        <v>0</v>
      </c>
      <c r="F64" s="223">
        <f t="shared" si="15"/>
        <v>0</v>
      </c>
      <c r="G64" s="223">
        <f t="shared" si="15"/>
        <v>1</v>
      </c>
      <c r="H64" s="223">
        <f t="shared" si="15"/>
        <v>0</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83.6</v>
      </c>
      <c r="H67" s="245">
        <f t="shared" si="16"/>
        <v>83.6</v>
      </c>
      <c r="I67" s="245">
        <f t="shared" si="16"/>
        <v>0</v>
      </c>
      <c r="J67" s="224">
        <f>ABS(G67-H67)</f>
        <v>0</v>
      </c>
      <c r="K67" s="224">
        <f>ABS(I67-G67)</f>
        <v>83.6</v>
      </c>
      <c r="L67" s="224">
        <f>ABS(H67-I67)</f>
        <v>83.6</v>
      </c>
      <c r="M67" s="246">
        <f>IF(J67=MIN(J67:L67),G67,IF(K67=MIN(J67:L67),G67,H67))</f>
        <v>83.6</v>
      </c>
      <c r="N67" s="246">
        <f>IF(J67=MIN(J67:L67),H67,IF(K67=MIN(J67:L67),I67,I67))</f>
        <v>83.6</v>
      </c>
    </row>
    <row r="68" spans="1:22" s="247" customFormat="1">
      <c r="B68" s="269" t="str">
        <f t="shared" ref="B68:B79" si="17">B14</f>
        <v>Stature</v>
      </c>
      <c r="C68" s="269"/>
      <c r="D68" s="269"/>
      <c r="E68" s="269"/>
      <c r="F68" s="269"/>
      <c r="G68" s="245">
        <f t="shared" si="16"/>
        <v>183</v>
      </c>
      <c r="H68" s="245">
        <f t="shared" si="16"/>
        <v>183</v>
      </c>
      <c r="I68" s="245">
        <f t="shared" si="16"/>
        <v>0</v>
      </c>
      <c r="J68" s="224">
        <f t="shared" ref="J68:J87" si="18">ABS(G68-H68)</f>
        <v>0</v>
      </c>
      <c r="K68" s="224">
        <f t="shared" ref="K68:K87" si="19">ABS(I68-G68)</f>
        <v>183</v>
      </c>
      <c r="L68" s="224">
        <f t="shared" ref="L68:L87" si="20">ABS(H68-I68)</f>
        <v>183</v>
      </c>
      <c r="M68" s="246">
        <f t="shared" ref="M68:M87" si="21">IF(J68=MIN(J68:L68),G68,IF(K68=MIN(J68:L68),G68,H68))</f>
        <v>183</v>
      </c>
      <c r="N68" s="246">
        <f t="shared" ref="N68:N87" si="22">IF(J68=MIN(J68:L68),H68,IF(K68=MIN(J68:L68),I68,I68))</f>
        <v>183</v>
      </c>
    </row>
    <row r="69" spans="1:22" s="247" customFormat="1">
      <c r="B69" s="269" t="str">
        <f t="shared" si="17"/>
        <v>Sitting height</v>
      </c>
      <c r="C69" s="269"/>
      <c r="D69" s="269"/>
      <c r="E69" s="269"/>
      <c r="F69" s="269"/>
      <c r="G69" s="245">
        <f t="shared" si="16"/>
        <v>115</v>
      </c>
      <c r="H69" s="245">
        <f t="shared" si="16"/>
        <v>115</v>
      </c>
      <c r="I69" s="245">
        <f t="shared" si="16"/>
        <v>0</v>
      </c>
      <c r="J69" s="224">
        <f t="shared" si="18"/>
        <v>0</v>
      </c>
      <c r="K69" s="224">
        <f t="shared" si="19"/>
        <v>115</v>
      </c>
      <c r="L69" s="224">
        <f t="shared" si="20"/>
        <v>115</v>
      </c>
      <c r="M69" s="246">
        <f t="shared" si="21"/>
        <v>115</v>
      </c>
      <c r="N69" s="246">
        <f t="shared" si="22"/>
        <v>115</v>
      </c>
    </row>
    <row r="70" spans="1:22" s="247" customFormat="1">
      <c r="B70" s="269" t="str">
        <f t="shared" si="17"/>
        <v>Arm Span</v>
      </c>
      <c r="C70" s="269"/>
      <c r="D70" s="269"/>
      <c r="E70" s="269"/>
      <c r="F70" s="269"/>
      <c r="G70" s="245">
        <f t="shared" si="16"/>
        <v>179.5</v>
      </c>
      <c r="H70" s="245">
        <f t="shared" si="16"/>
        <v>179.5</v>
      </c>
      <c r="I70" s="245">
        <f t="shared" si="16"/>
        <v>0</v>
      </c>
      <c r="J70" s="224">
        <f t="shared" si="18"/>
        <v>0</v>
      </c>
      <c r="K70" s="224">
        <f t="shared" si="19"/>
        <v>179.5</v>
      </c>
      <c r="L70" s="224">
        <f t="shared" si="20"/>
        <v>179.5</v>
      </c>
      <c r="M70" s="246">
        <f t="shared" si="21"/>
        <v>179.5</v>
      </c>
      <c r="N70" s="246">
        <f t="shared" si="22"/>
        <v>179.5</v>
      </c>
    </row>
    <row r="71" spans="1:22" s="247" customFormat="1">
      <c r="B71" s="269" t="str">
        <f t="shared" si="17"/>
        <v>Triceps sf</v>
      </c>
      <c r="C71" s="269"/>
      <c r="D71" s="269"/>
      <c r="E71" s="269"/>
      <c r="F71" s="269"/>
      <c r="G71" s="245">
        <f t="shared" si="16"/>
        <v>5</v>
      </c>
      <c r="H71" s="245">
        <f t="shared" si="16"/>
        <v>5</v>
      </c>
      <c r="I71" s="245">
        <f t="shared" si="16"/>
        <v>0</v>
      </c>
      <c r="J71" s="224">
        <f t="shared" si="18"/>
        <v>0</v>
      </c>
      <c r="K71" s="224">
        <f t="shared" si="19"/>
        <v>5</v>
      </c>
      <c r="L71" s="224">
        <f t="shared" si="20"/>
        <v>5</v>
      </c>
      <c r="M71" s="246">
        <f t="shared" si="21"/>
        <v>5</v>
      </c>
      <c r="N71" s="246">
        <f t="shared" si="22"/>
        <v>5</v>
      </c>
    </row>
    <row r="72" spans="1:22" s="247" customFormat="1">
      <c r="B72" s="269" t="str">
        <f t="shared" si="17"/>
        <v>Subscapular sf</v>
      </c>
      <c r="C72" s="269"/>
      <c r="D72" s="269"/>
      <c r="E72" s="269"/>
      <c r="F72" s="269"/>
      <c r="G72" s="245">
        <f t="shared" si="16"/>
        <v>6.5</v>
      </c>
      <c r="H72" s="245">
        <f t="shared" si="16"/>
        <v>6.5</v>
      </c>
      <c r="I72" s="245">
        <f t="shared" si="16"/>
        <v>0</v>
      </c>
      <c r="J72" s="224">
        <f t="shared" si="18"/>
        <v>0</v>
      </c>
      <c r="K72" s="224">
        <f t="shared" si="19"/>
        <v>6.5</v>
      </c>
      <c r="L72" s="224">
        <f t="shared" si="20"/>
        <v>6.5</v>
      </c>
      <c r="M72" s="246">
        <f t="shared" si="21"/>
        <v>6.5</v>
      </c>
      <c r="N72" s="246">
        <f t="shared" si="22"/>
        <v>6.5</v>
      </c>
    </row>
    <row r="73" spans="1:22" s="247" customFormat="1">
      <c r="B73" s="269" t="str">
        <f t="shared" si="17"/>
        <v>Biceps sf</v>
      </c>
      <c r="C73" s="269"/>
      <c r="D73" s="269"/>
      <c r="E73" s="269"/>
      <c r="F73" s="269"/>
      <c r="G73" s="245">
        <f t="shared" si="16"/>
        <v>1</v>
      </c>
      <c r="H73" s="245">
        <f t="shared" si="16"/>
        <v>1</v>
      </c>
      <c r="I73" s="245">
        <f t="shared" si="16"/>
        <v>0</v>
      </c>
      <c r="J73" s="224">
        <f t="shared" si="18"/>
        <v>0</v>
      </c>
      <c r="K73" s="224">
        <f t="shared" si="19"/>
        <v>1</v>
      </c>
      <c r="L73" s="224">
        <f t="shared" si="20"/>
        <v>1</v>
      </c>
      <c r="M73" s="246">
        <f t="shared" si="21"/>
        <v>1</v>
      </c>
      <c r="N73" s="246">
        <f t="shared" si="22"/>
        <v>1</v>
      </c>
    </row>
    <row r="74" spans="1:22" s="247" customFormat="1">
      <c r="B74" s="269" t="str">
        <f t="shared" si="17"/>
        <v>Iliac crest sf</v>
      </c>
      <c r="C74" s="269"/>
      <c r="D74" s="269"/>
      <c r="E74" s="269"/>
      <c r="F74" s="269"/>
      <c r="G74" s="245">
        <f t="shared" si="16"/>
        <v>5.5</v>
      </c>
      <c r="H74" s="245">
        <f t="shared" si="16"/>
        <v>5.5</v>
      </c>
      <c r="I74" s="245">
        <f t="shared" si="16"/>
        <v>0</v>
      </c>
      <c r="J74" s="224">
        <f t="shared" si="18"/>
        <v>0</v>
      </c>
      <c r="K74" s="224">
        <f t="shared" si="19"/>
        <v>5.5</v>
      </c>
      <c r="L74" s="224">
        <f t="shared" si="20"/>
        <v>5.5</v>
      </c>
      <c r="M74" s="246">
        <f t="shared" si="21"/>
        <v>5.5</v>
      </c>
      <c r="N74" s="246">
        <f t="shared" si="22"/>
        <v>5.5</v>
      </c>
    </row>
    <row r="75" spans="1:22" s="247" customFormat="1">
      <c r="B75" s="269" t="str">
        <f t="shared" si="17"/>
        <v>Supraspinale sf</v>
      </c>
      <c r="C75" s="269"/>
      <c r="D75" s="269"/>
      <c r="E75" s="269"/>
      <c r="F75" s="269"/>
      <c r="G75" s="245">
        <f t="shared" si="16"/>
        <v>4.5</v>
      </c>
      <c r="H75" s="245">
        <f t="shared" si="16"/>
        <v>4.5</v>
      </c>
      <c r="I75" s="245">
        <f t="shared" si="16"/>
        <v>0</v>
      </c>
      <c r="J75" s="224">
        <f t="shared" si="18"/>
        <v>0</v>
      </c>
      <c r="K75" s="224">
        <f t="shared" si="19"/>
        <v>4.5</v>
      </c>
      <c r="L75" s="224">
        <f t="shared" si="20"/>
        <v>4.5</v>
      </c>
      <c r="M75" s="246">
        <f t="shared" si="21"/>
        <v>4.5</v>
      </c>
      <c r="N75" s="246">
        <f t="shared" si="22"/>
        <v>4.5</v>
      </c>
    </row>
    <row r="76" spans="1:22" s="247" customFormat="1">
      <c r="B76" s="269" t="str">
        <f t="shared" si="17"/>
        <v>Abdominal sf</v>
      </c>
      <c r="C76" s="269"/>
      <c r="D76" s="269"/>
      <c r="E76" s="269"/>
      <c r="F76" s="269"/>
      <c r="G76" s="245">
        <f t="shared" si="16"/>
        <v>4.5</v>
      </c>
      <c r="H76" s="245">
        <f t="shared" si="16"/>
        <v>4.5</v>
      </c>
      <c r="I76" s="245">
        <f t="shared" si="16"/>
        <v>0</v>
      </c>
      <c r="J76" s="224">
        <f t="shared" si="18"/>
        <v>0</v>
      </c>
      <c r="K76" s="224">
        <f t="shared" si="19"/>
        <v>4.5</v>
      </c>
      <c r="L76" s="224">
        <f t="shared" si="20"/>
        <v>4.5</v>
      </c>
      <c r="M76" s="246">
        <f t="shared" si="21"/>
        <v>4.5</v>
      </c>
      <c r="N76" s="246">
        <f t="shared" si="22"/>
        <v>4.5</v>
      </c>
    </row>
    <row r="77" spans="1:22" s="247" customFormat="1">
      <c r="A77" s="244"/>
      <c r="B77" s="269" t="str">
        <f t="shared" si="17"/>
        <v>Thigh sf</v>
      </c>
      <c r="C77" s="269"/>
      <c r="D77" s="269"/>
      <c r="E77" s="269"/>
      <c r="F77" s="269"/>
      <c r="G77" s="245">
        <f t="shared" si="16"/>
        <v>8</v>
      </c>
      <c r="H77" s="245">
        <f t="shared" si="16"/>
        <v>8</v>
      </c>
      <c r="I77" s="245">
        <f t="shared" si="16"/>
        <v>0</v>
      </c>
      <c r="J77" s="224">
        <f t="shared" si="18"/>
        <v>0</v>
      </c>
      <c r="K77" s="224">
        <f t="shared" si="19"/>
        <v>8</v>
      </c>
      <c r="L77" s="224">
        <f t="shared" si="20"/>
        <v>8</v>
      </c>
      <c r="M77" s="246">
        <f t="shared" si="21"/>
        <v>8</v>
      </c>
      <c r="N77" s="246">
        <f t="shared" si="22"/>
        <v>8</v>
      </c>
    </row>
    <row r="78" spans="1:22" s="247" customFormat="1">
      <c r="B78" s="269" t="str">
        <f t="shared" si="17"/>
        <v>Calf sf</v>
      </c>
      <c r="C78" s="269"/>
      <c r="D78" s="269"/>
      <c r="E78" s="269"/>
      <c r="F78" s="269"/>
      <c r="G78" s="245">
        <f t="shared" si="16"/>
        <v>5.5</v>
      </c>
      <c r="H78" s="245">
        <f t="shared" si="16"/>
        <v>5.5</v>
      </c>
      <c r="I78" s="245">
        <f t="shared" si="16"/>
        <v>0</v>
      </c>
      <c r="J78" s="224">
        <f t="shared" si="18"/>
        <v>0</v>
      </c>
      <c r="K78" s="224">
        <f t="shared" si="19"/>
        <v>5.5</v>
      </c>
      <c r="L78" s="224">
        <f t="shared" si="20"/>
        <v>5.5</v>
      </c>
      <c r="M78" s="246">
        <f t="shared" si="21"/>
        <v>5.5</v>
      </c>
      <c r="N78" s="246">
        <f t="shared" si="22"/>
        <v>5.5</v>
      </c>
    </row>
    <row r="79" spans="1:22" s="247" customFormat="1">
      <c r="B79" s="269" t="str">
        <f t="shared" si="17"/>
        <v>Arm girth relaxed</v>
      </c>
      <c r="C79" s="269"/>
      <c r="D79" s="269"/>
      <c r="E79" s="269"/>
      <c r="F79" s="269"/>
      <c r="G79" s="245">
        <f t="shared" si="16"/>
        <v>34</v>
      </c>
      <c r="H79" s="245">
        <f t="shared" si="16"/>
        <v>34</v>
      </c>
      <c r="I79" s="245">
        <f t="shared" si="16"/>
        <v>0</v>
      </c>
      <c r="J79" s="224">
        <f t="shared" si="18"/>
        <v>0</v>
      </c>
      <c r="K79" s="224">
        <f t="shared" si="19"/>
        <v>34</v>
      </c>
      <c r="L79" s="224">
        <f t="shared" si="20"/>
        <v>34</v>
      </c>
      <c r="M79" s="246">
        <f t="shared" si="21"/>
        <v>34</v>
      </c>
      <c r="N79" s="246">
        <f t="shared" si="22"/>
        <v>34</v>
      </c>
    </row>
    <row r="80" spans="1:22" s="247" customFormat="1">
      <c r="B80" s="269" t="str">
        <f>B27</f>
        <v>Arm girth flexed and tensed</v>
      </c>
      <c r="C80" s="269"/>
      <c r="D80" s="269"/>
      <c r="E80" s="269"/>
      <c r="F80" s="269"/>
      <c r="G80" s="245">
        <f t="shared" ref="G80:I83" si="23">+G27</f>
        <v>39</v>
      </c>
      <c r="H80" s="245">
        <f t="shared" si="23"/>
        <v>39</v>
      </c>
      <c r="I80" s="245">
        <f t="shared" si="23"/>
        <v>0</v>
      </c>
      <c r="J80" s="224">
        <f t="shared" si="18"/>
        <v>0</v>
      </c>
      <c r="K80" s="224">
        <f t="shared" si="19"/>
        <v>39</v>
      </c>
      <c r="L80" s="224">
        <f t="shared" si="20"/>
        <v>39</v>
      </c>
      <c r="M80" s="246">
        <f t="shared" si="21"/>
        <v>39</v>
      </c>
      <c r="N80" s="246">
        <f t="shared" si="22"/>
        <v>39</v>
      </c>
    </row>
    <row r="81" spans="1:14" s="247" customFormat="1">
      <c r="B81" s="269" t="str">
        <f>B28</f>
        <v>Waist girth</v>
      </c>
      <c r="C81" s="269"/>
      <c r="D81" s="269"/>
      <c r="E81" s="269"/>
      <c r="F81" s="269"/>
      <c r="G81" s="245">
        <f t="shared" si="23"/>
        <v>78.7</v>
      </c>
      <c r="H81" s="245">
        <f t="shared" si="23"/>
        <v>79</v>
      </c>
      <c r="I81" s="245">
        <f t="shared" si="23"/>
        <v>78.8</v>
      </c>
      <c r="J81" s="224">
        <f t="shared" si="18"/>
        <v>0.29999999999999716</v>
      </c>
      <c r="K81" s="224">
        <f t="shared" si="19"/>
        <v>9.9999999999994316E-2</v>
      </c>
      <c r="L81" s="224">
        <f t="shared" si="20"/>
        <v>0.20000000000000284</v>
      </c>
      <c r="M81" s="246">
        <f t="shared" si="21"/>
        <v>78.7</v>
      </c>
      <c r="N81" s="246">
        <f t="shared" si="22"/>
        <v>78.8</v>
      </c>
    </row>
    <row r="82" spans="1:14" s="247" customFormat="1">
      <c r="B82" s="269" t="str">
        <f>B29</f>
        <v>Hips girth</v>
      </c>
      <c r="C82" s="269"/>
      <c r="D82" s="269"/>
      <c r="E82" s="269"/>
      <c r="F82" s="269"/>
      <c r="G82" s="245">
        <f t="shared" si="23"/>
        <v>95</v>
      </c>
      <c r="H82" s="245">
        <f t="shared" si="23"/>
        <v>95</v>
      </c>
      <c r="I82" s="245">
        <f t="shared" si="23"/>
        <v>0</v>
      </c>
      <c r="J82" s="224">
        <f t="shared" si="18"/>
        <v>0</v>
      </c>
      <c r="K82" s="224">
        <f t="shared" si="19"/>
        <v>95</v>
      </c>
      <c r="L82" s="224">
        <f t="shared" si="20"/>
        <v>95</v>
      </c>
      <c r="M82" s="246">
        <f t="shared" si="21"/>
        <v>95</v>
      </c>
      <c r="N82" s="246">
        <f t="shared" si="22"/>
        <v>95</v>
      </c>
    </row>
    <row r="83" spans="1:14">
      <c r="A83" s="247"/>
      <c r="B83" s="269" t="str">
        <f>B30</f>
        <v>Thigh middle girth</v>
      </c>
      <c r="C83" s="269"/>
      <c r="D83" s="269"/>
      <c r="E83" s="269"/>
      <c r="F83" s="269"/>
      <c r="G83" s="245">
        <f t="shared" si="23"/>
        <v>55</v>
      </c>
      <c r="H83" s="245">
        <f t="shared" si="23"/>
        <v>55.1</v>
      </c>
      <c r="I83" s="245">
        <f t="shared" si="23"/>
        <v>0</v>
      </c>
      <c r="J83" s="224">
        <f t="shared" si="18"/>
        <v>0.10000000000000142</v>
      </c>
      <c r="K83" s="224">
        <f t="shared" si="19"/>
        <v>55</v>
      </c>
      <c r="L83" s="224">
        <f t="shared" si="20"/>
        <v>55.1</v>
      </c>
      <c r="M83" s="246">
        <f t="shared" si="21"/>
        <v>55</v>
      </c>
      <c r="N83" s="246">
        <f t="shared" si="22"/>
        <v>55.1</v>
      </c>
    </row>
    <row r="84" spans="1:14">
      <c r="B84" s="269" t="str">
        <f>B32</f>
        <v>Calf girth</v>
      </c>
      <c r="C84" s="269"/>
      <c r="D84" s="269"/>
      <c r="E84" s="269"/>
      <c r="F84" s="269"/>
      <c r="G84" s="245">
        <f>+G32</f>
        <v>36</v>
      </c>
      <c r="H84" s="245">
        <f>+H32</f>
        <v>36</v>
      </c>
      <c r="I84" s="245">
        <f>+I32</f>
        <v>0</v>
      </c>
      <c r="J84" s="224">
        <f t="shared" si="18"/>
        <v>0</v>
      </c>
      <c r="K84" s="224">
        <f t="shared" si="19"/>
        <v>36</v>
      </c>
      <c r="L84" s="224">
        <f t="shared" si="20"/>
        <v>36</v>
      </c>
      <c r="M84" s="246">
        <f t="shared" si="21"/>
        <v>36</v>
      </c>
      <c r="N84" s="246">
        <f t="shared" si="22"/>
        <v>36</v>
      </c>
    </row>
    <row r="85" spans="1:14">
      <c r="B85" s="269" t="str">
        <f>B34</f>
        <v>Humerus breadth</v>
      </c>
      <c r="C85" s="269"/>
      <c r="D85" s="269"/>
      <c r="E85" s="269"/>
      <c r="F85" s="269"/>
      <c r="G85" s="245">
        <f t="shared" ref="G85:I87" si="24">+G34</f>
        <v>7.2</v>
      </c>
      <c r="H85" s="245">
        <f t="shared" si="24"/>
        <v>7.2</v>
      </c>
      <c r="I85" s="245">
        <f t="shared" si="24"/>
        <v>0</v>
      </c>
      <c r="J85" s="224">
        <f t="shared" si="18"/>
        <v>0</v>
      </c>
      <c r="K85" s="224">
        <f t="shared" si="19"/>
        <v>7.2</v>
      </c>
      <c r="L85" s="224">
        <f t="shared" si="20"/>
        <v>7.2</v>
      </c>
      <c r="M85" s="246">
        <f t="shared" si="21"/>
        <v>7.2</v>
      </c>
      <c r="N85" s="246">
        <f t="shared" si="22"/>
        <v>7.2</v>
      </c>
    </row>
    <row r="86" spans="1:14">
      <c r="B86" s="269" t="str">
        <f>B35</f>
        <v>Bi-styloid breadth</v>
      </c>
      <c r="C86" s="269"/>
      <c r="D86" s="269"/>
      <c r="E86" s="269"/>
      <c r="F86" s="269"/>
      <c r="G86" s="245">
        <f t="shared" si="24"/>
        <v>6.5</v>
      </c>
      <c r="H86" s="245">
        <f t="shared" si="24"/>
        <v>6.5</v>
      </c>
      <c r="I86" s="245">
        <f t="shared" si="24"/>
        <v>0</v>
      </c>
      <c r="J86" s="224">
        <f t="shared" si="18"/>
        <v>0</v>
      </c>
      <c r="K86" s="224">
        <f t="shared" si="19"/>
        <v>6.5</v>
      </c>
      <c r="L86" s="224">
        <f t="shared" si="20"/>
        <v>6.5</v>
      </c>
      <c r="M86" s="246">
        <f t="shared" si="21"/>
        <v>6.5</v>
      </c>
      <c r="N86" s="246">
        <f t="shared" si="22"/>
        <v>6.5</v>
      </c>
    </row>
    <row r="87" spans="1:14">
      <c r="B87" s="269" t="str">
        <f>B36</f>
        <v>Femur breadth</v>
      </c>
      <c r="C87" s="269"/>
      <c r="D87" s="269"/>
      <c r="E87" s="269"/>
      <c r="F87" s="269"/>
      <c r="G87" s="245">
        <f t="shared" si="24"/>
        <v>10.5</v>
      </c>
      <c r="H87" s="245">
        <f t="shared" si="24"/>
        <v>10.5</v>
      </c>
      <c r="I87" s="245">
        <f t="shared" si="24"/>
        <v>0</v>
      </c>
      <c r="J87" s="224">
        <f t="shared" si="18"/>
        <v>0</v>
      </c>
      <c r="K87" s="224">
        <f t="shared" si="19"/>
        <v>10.5</v>
      </c>
      <c r="L87" s="224">
        <f t="shared" si="20"/>
        <v>10.5</v>
      </c>
      <c r="M87" s="246">
        <f t="shared" si="21"/>
        <v>10.5</v>
      </c>
      <c r="N87" s="246">
        <f t="shared" si="22"/>
        <v>10.5</v>
      </c>
    </row>
    <row r="88" spans="1:14">
      <c r="M88" s="103"/>
      <c r="N88" s="103"/>
    </row>
    <row r="89" spans="1:14">
      <c r="M89" s="103"/>
      <c r="N89" s="103"/>
    </row>
    <row r="90" spans="1:14">
      <c r="M90" s="103"/>
      <c r="N90" s="103"/>
    </row>
    <row r="91" spans="1:14">
      <c r="M91" s="103"/>
      <c r="N91" s="103"/>
    </row>
  </sheetData>
  <sheetProtection algorithmName="SHA-512" hashValue="e5uFYD1y16C241/Qsx2phlTUfcavoPdw7a3d/dRN89icEURTlCIFKmtTcMSgi8gCIKPUvyuqioJXrb4Y0jcAGg==" saltValue="lpbjfYig1hSt7VG/N4jIQQ=="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A91"/>
  <sheetViews>
    <sheetView topLeftCell="B1" zoomScaleNormal="75" zoomScaleSheetLayoutView="75" workbookViewId="0">
      <selection activeCell="G9" sqref="G9"/>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60</v>
      </c>
      <c r="H4" s="71"/>
      <c r="I4" s="72"/>
      <c r="J4" s="118"/>
      <c r="K4" s="118"/>
      <c r="L4" s="111"/>
      <c r="M4" s="111"/>
      <c r="N4" s="111"/>
      <c r="O4" s="104"/>
      <c r="P4" s="104"/>
      <c r="Q4" s="113"/>
      <c r="R4" s="105" t="str">
        <f t="shared" ref="R4:R11" si="0">+B4</f>
        <v>Name</v>
      </c>
      <c r="S4" s="119"/>
      <c r="T4" s="119"/>
      <c r="U4" s="120" t="str">
        <f t="shared" ref="U4:U11" si="1">+G4</f>
        <v xml:space="preserve">Jack </v>
      </c>
      <c r="V4" s="107"/>
      <c r="W4" s="107"/>
      <c r="X4" s="121"/>
      <c r="Y4" s="107"/>
      <c r="Z4" s="108"/>
      <c r="AA4" s="115"/>
    </row>
    <row r="5" spans="1:27" s="109" customFormat="1">
      <c r="B5" s="116" t="str">
        <f>IF(Info!D34,"Surname","Apellidos")</f>
        <v>Surname</v>
      </c>
      <c r="C5" s="116"/>
      <c r="D5" s="116"/>
      <c r="E5" s="110"/>
      <c r="F5" s="112"/>
      <c r="G5" s="81" t="s">
        <v>61</v>
      </c>
      <c r="H5" s="73"/>
      <c r="I5" s="74"/>
      <c r="J5" s="122"/>
      <c r="K5" s="122"/>
      <c r="L5" s="122"/>
      <c r="M5" s="122"/>
      <c r="N5" s="123"/>
      <c r="O5" s="104"/>
      <c r="P5" s="104"/>
      <c r="Q5" s="113"/>
      <c r="R5" s="113" t="str">
        <f t="shared" si="0"/>
        <v>Surname</v>
      </c>
      <c r="S5" s="124"/>
      <c r="T5" s="124"/>
      <c r="U5" s="125" t="str">
        <f t="shared" si="1"/>
        <v>Allan</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62</v>
      </c>
      <c r="H9" s="75"/>
      <c r="I9" s="76"/>
      <c r="J9" s="111"/>
      <c r="K9" s="111"/>
      <c r="L9" s="111"/>
      <c r="M9" s="111"/>
      <c r="N9" s="111"/>
      <c r="O9" s="104"/>
      <c r="P9" s="104"/>
      <c r="Q9" s="113"/>
      <c r="R9" s="113" t="str">
        <f t="shared" si="0"/>
        <v>Sport</v>
      </c>
      <c r="S9" s="124"/>
      <c r="T9" s="124"/>
      <c r="U9" s="125" t="str">
        <f t="shared" si="1"/>
        <v>gym</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44336</v>
      </c>
      <c r="H10" s="76"/>
      <c r="I10" s="76"/>
      <c r="J10" s="111"/>
      <c r="K10" s="111"/>
      <c r="L10" s="111"/>
      <c r="M10" s="111"/>
      <c r="N10" s="122"/>
      <c r="O10" s="104"/>
      <c r="P10" s="104"/>
      <c r="Q10" s="113"/>
      <c r="R10" s="113" t="str">
        <f t="shared" si="0"/>
        <v>Date of Measurement</v>
      </c>
      <c r="S10" s="124"/>
      <c r="T10" s="124"/>
      <c r="U10" s="131">
        <f t="shared" si="1"/>
        <v>44336</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35635</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35635</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68.3</v>
      </c>
      <c r="H13" s="84">
        <v>68.3</v>
      </c>
      <c r="I13" s="84"/>
      <c r="J13" s="150"/>
      <c r="K13" s="151">
        <f>+(H13-G13)/(AVERAGE(G13:H13))</f>
        <v>0</v>
      </c>
      <c r="L13" s="152" t="str">
        <f>IF(ABS(K13)&gt;1%,"Yes","No")</f>
        <v>No</v>
      </c>
      <c r="M13" s="150"/>
      <c r="N13" s="153">
        <f t="shared" ref="N13:N25" si="2">IF(I13=0,AVERAGE(G13,H13),MEDIAN(G13,H13,I13))</f>
        <v>68.3</v>
      </c>
      <c r="O13" s="154"/>
      <c r="P13" s="154"/>
      <c r="Q13" s="155"/>
      <c r="R13" s="156" t="str">
        <f t="shared" ref="R13:R36" si="3">+B13</f>
        <v>Mass</v>
      </c>
      <c r="S13" s="157"/>
      <c r="T13" s="157"/>
      <c r="U13" s="158">
        <f t="shared" ref="U13:U25" si="4">+N13</f>
        <v>68.3</v>
      </c>
      <c r="V13" s="159" t="s">
        <v>25</v>
      </c>
      <c r="W13" s="160">
        <f>1/8.6*(+U13*((170.18/U$14)^3)-64.58)</f>
        <v>0.18310848752982167</v>
      </c>
      <c r="X13" s="121"/>
      <c r="Y13" s="107"/>
      <c r="Z13" s="108"/>
      <c r="AA13" s="115"/>
    </row>
    <row r="14" spans="1:27" s="109" customFormat="1">
      <c r="B14" s="161" t="str">
        <f>IF(Info!D34,"Stature","Talla")</f>
        <v>Stature</v>
      </c>
      <c r="C14" s="116"/>
      <c r="D14" s="116"/>
      <c r="E14" s="122"/>
      <c r="F14" s="110"/>
      <c r="G14" s="85">
        <v>172</v>
      </c>
      <c r="H14" s="85">
        <v>172</v>
      </c>
      <c r="I14" s="85"/>
      <c r="J14" s="134"/>
      <c r="K14" s="162">
        <f t="shared" ref="K14:K34" si="5">+(H14-G14)/(AVERAGE(G14:H14))</f>
        <v>0</v>
      </c>
      <c r="L14" s="163" t="str">
        <f>IF(ABS(K14)&gt;1%,"Yes","No")</f>
        <v>No</v>
      </c>
      <c r="M14" s="134"/>
      <c r="N14" s="164">
        <f t="shared" si="2"/>
        <v>172</v>
      </c>
      <c r="O14" s="154"/>
      <c r="P14" s="154"/>
      <c r="Q14" s="155"/>
      <c r="R14" s="155" t="str">
        <f t="shared" si="3"/>
        <v>Stature</v>
      </c>
      <c r="S14" s="165"/>
      <c r="T14" s="165"/>
      <c r="U14" s="166">
        <f t="shared" si="4"/>
        <v>172</v>
      </c>
      <c r="V14" s="167" t="s">
        <v>26</v>
      </c>
      <c r="W14" s="132"/>
      <c r="X14" s="132"/>
      <c r="Y14" s="133"/>
      <c r="Z14" s="115"/>
      <c r="AA14" s="115"/>
    </row>
    <row r="15" spans="1:27" s="109" customFormat="1">
      <c r="B15" s="161" t="str">
        <f>IF(Info!D34,"Sitting height","Talla sentado")</f>
        <v>Sitting height</v>
      </c>
      <c r="C15" s="116"/>
      <c r="D15" s="116"/>
      <c r="E15" s="122"/>
      <c r="F15" s="110"/>
      <c r="G15" s="87">
        <v>85</v>
      </c>
      <c r="H15" s="87">
        <v>85</v>
      </c>
      <c r="I15" s="87"/>
      <c r="J15" s="134"/>
      <c r="K15" s="162">
        <f t="shared" si="5"/>
        <v>0</v>
      </c>
      <c r="L15" s="163" t="str">
        <f>IF(ABS(K15)&gt;1%,"Yes","No")</f>
        <v>No</v>
      </c>
      <c r="M15" s="134"/>
      <c r="N15" s="164">
        <f t="shared" si="2"/>
        <v>85</v>
      </c>
      <c r="O15" s="154"/>
      <c r="P15" s="154"/>
      <c r="Q15" s="155"/>
      <c r="R15" s="155" t="str">
        <f t="shared" si="3"/>
        <v>Sitting height</v>
      </c>
      <c r="S15" s="165"/>
      <c r="T15" s="165"/>
      <c r="U15" s="166">
        <f t="shared" si="4"/>
        <v>85</v>
      </c>
      <c r="V15" s="167" t="s">
        <v>26</v>
      </c>
      <c r="W15" s="32">
        <f>1/4.5*(+U15*((170.18/U$14)^1)-89.92)</f>
        <v>-1.2932041343669247</v>
      </c>
      <c r="X15" s="132"/>
      <c r="Y15" s="133"/>
      <c r="Z15" s="115"/>
      <c r="AA15" s="115"/>
    </row>
    <row r="16" spans="1:27" s="109" customFormat="1" ht="13.8" thickBot="1">
      <c r="B16" s="161" t="str">
        <f>IF(Info!D34,"Arm Span","Envergadura de brazos")</f>
        <v>Arm Span</v>
      </c>
      <c r="C16" s="116"/>
      <c r="D16" s="116"/>
      <c r="E16" s="122"/>
      <c r="F16" s="110"/>
      <c r="G16" s="87">
        <v>172</v>
      </c>
      <c r="H16" s="87">
        <v>172</v>
      </c>
      <c r="I16" s="87"/>
      <c r="J16" s="134"/>
      <c r="K16" s="162">
        <f t="shared" si="5"/>
        <v>0</v>
      </c>
      <c r="L16" s="163" t="str">
        <f>IF(ABS(K16)&gt;1%,"Yes","No")</f>
        <v>No</v>
      </c>
      <c r="M16" s="134"/>
      <c r="N16" s="164">
        <f t="shared" si="2"/>
        <v>172</v>
      </c>
      <c r="O16" s="154"/>
      <c r="P16" s="154"/>
      <c r="Q16" s="155"/>
      <c r="R16" s="168" t="str">
        <f t="shared" si="3"/>
        <v>Arm Span</v>
      </c>
      <c r="S16" s="169"/>
      <c r="T16" s="169"/>
      <c r="U16" s="170">
        <f t="shared" si="4"/>
        <v>172</v>
      </c>
      <c r="V16" s="171" t="s">
        <v>26</v>
      </c>
      <c r="W16" s="33">
        <f>1/7.41*(+U16*((170.18/U$14)^1)-172.35)</f>
        <v>-0.29284750337381749</v>
      </c>
      <c r="X16" s="172"/>
      <c r="Y16" s="173"/>
      <c r="Z16" s="174"/>
      <c r="AA16" s="115"/>
    </row>
    <row r="17" spans="1:27" ht="18" customHeight="1" thickTop="1">
      <c r="A17" s="109"/>
      <c r="B17" s="146" t="str">
        <f>IF(Info!D34,"Triceps sf","PL Tríceps")</f>
        <v>Triceps sf</v>
      </c>
      <c r="C17" s="147"/>
      <c r="D17" s="147"/>
      <c r="E17" s="148"/>
      <c r="F17" s="149"/>
      <c r="G17" s="84">
        <v>9</v>
      </c>
      <c r="H17" s="84">
        <v>9</v>
      </c>
      <c r="I17" s="84"/>
      <c r="J17" s="150"/>
      <c r="K17" s="151">
        <f t="shared" si="5"/>
        <v>0</v>
      </c>
      <c r="L17" s="152" t="str">
        <f t="shared" ref="L17:L24" si="6">IF(ABS(K17)&gt;5%,"Yes","No")</f>
        <v>No</v>
      </c>
      <c r="M17" s="150"/>
      <c r="N17" s="153">
        <f t="shared" si="2"/>
        <v>9</v>
      </c>
      <c r="O17" s="154"/>
      <c r="P17" s="154"/>
      <c r="Q17" s="155"/>
      <c r="R17" s="156" t="str">
        <f t="shared" si="3"/>
        <v>Triceps sf</v>
      </c>
      <c r="S17" s="157"/>
      <c r="T17" s="157"/>
      <c r="U17" s="175">
        <f t="shared" si="4"/>
        <v>9</v>
      </c>
      <c r="V17" s="176" t="s">
        <v>27</v>
      </c>
      <c r="W17" s="177">
        <f>1/4.47*(+U17*((170.18/U$14)^1)-15.4)</f>
        <v>-1.453072160657614</v>
      </c>
      <c r="X17" s="178"/>
      <c r="Y17" s="176"/>
      <c r="Z17" s="179"/>
      <c r="AA17" s="145"/>
    </row>
    <row r="18" spans="1:27" ht="18" customHeight="1">
      <c r="B18" s="161" t="str">
        <f>IF(Info!D34,"Subscapular sf","PL Subescapular")</f>
        <v>Subscapular sf</v>
      </c>
      <c r="C18" s="116"/>
      <c r="D18" s="116"/>
      <c r="E18" s="122"/>
      <c r="F18" s="110"/>
      <c r="G18" s="85">
        <v>13</v>
      </c>
      <c r="H18" s="85">
        <v>13</v>
      </c>
      <c r="I18" s="85"/>
      <c r="J18" s="134"/>
      <c r="K18" s="162">
        <f t="shared" si="5"/>
        <v>0</v>
      </c>
      <c r="L18" s="163" t="str">
        <f t="shared" si="6"/>
        <v>No</v>
      </c>
      <c r="M18" s="134"/>
      <c r="N18" s="164">
        <f t="shared" si="2"/>
        <v>13</v>
      </c>
      <c r="O18" s="154"/>
      <c r="P18" s="154"/>
      <c r="Q18" s="155"/>
      <c r="R18" s="155" t="str">
        <f t="shared" si="3"/>
        <v>Subscapular sf</v>
      </c>
      <c r="S18" s="165"/>
      <c r="T18" s="165"/>
      <c r="U18" s="180">
        <f t="shared" si="4"/>
        <v>13</v>
      </c>
      <c r="V18" s="143" t="s">
        <v>27</v>
      </c>
      <c r="W18" s="32">
        <f>1/5.07*(+U18*((170.18/U$14)^1)-17.2)</f>
        <v>-0.85553414980964149</v>
      </c>
      <c r="X18" s="181"/>
      <c r="Y18" s="143"/>
      <c r="Z18" s="145"/>
      <c r="AA18" s="145"/>
    </row>
    <row r="19" spans="1:27" ht="18" customHeight="1">
      <c r="B19" s="161" t="str">
        <f>IF(Info!D34,"Biceps sf","PL Bíceps")</f>
        <v>Biceps sf</v>
      </c>
      <c r="C19" s="116"/>
      <c r="D19" s="116"/>
      <c r="E19" s="122"/>
      <c r="F19" s="110"/>
      <c r="G19" s="85">
        <v>4</v>
      </c>
      <c r="H19" s="85">
        <v>4</v>
      </c>
      <c r="I19" s="85"/>
      <c r="J19" s="134"/>
      <c r="K19" s="182">
        <f t="shared" si="5"/>
        <v>0</v>
      </c>
      <c r="L19" s="163" t="str">
        <f t="shared" si="6"/>
        <v>No</v>
      </c>
      <c r="M19" s="134"/>
      <c r="N19" s="164">
        <f t="shared" si="2"/>
        <v>4</v>
      </c>
      <c r="O19" s="154"/>
      <c r="P19" s="154"/>
      <c r="Q19" s="155"/>
      <c r="R19" s="155" t="str">
        <f t="shared" si="3"/>
        <v>Biceps sf</v>
      </c>
      <c r="S19" s="165"/>
      <c r="T19" s="165"/>
      <c r="U19" s="180">
        <f t="shared" si="4"/>
        <v>4</v>
      </c>
      <c r="V19" s="143" t="s">
        <v>27</v>
      </c>
      <c r="W19" s="32">
        <f>1/2*(+U19*((170.18/U$14)^1)-8)</f>
        <v>-2.0211627906976743</v>
      </c>
      <c r="X19" s="181"/>
      <c r="Y19" s="143"/>
      <c r="Z19" s="145"/>
      <c r="AA19" s="145"/>
    </row>
    <row r="20" spans="1:27" ht="18" customHeight="1">
      <c r="B20" s="161" t="str">
        <f>IF(Info!D34,"Iliac crest sf","PL Cresta Iliaca")</f>
        <v>Iliac crest sf</v>
      </c>
      <c r="C20" s="116"/>
      <c r="D20" s="116"/>
      <c r="E20" s="122"/>
      <c r="F20" s="110"/>
      <c r="G20" s="85">
        <v>22.5</v>
      </c>
      <c r="H20" s="85">
        <v>23</v>
      </c>
      <c r="I20" s="85">
        <v>23</v>
      </c>
      <c r="J20" s="134"/>
      <c r="K20" s="182">
        <f t="shared" si="5"/>
        <v>2.197802197802198E-2</v>
      </c>
      <c r="L20" s="163" t="str">
        <f t="shared" si="6"/>
        <v>No</v>
      </c>
      <c r="M20" s="134"/>
      <c r="N20" s="164">
        <f t="shared" si="2"/>
        <v>23</v>
      </c>
      <c r="O20" s="154"/>
      <c r="P20" s="154"/>
      <c r="Q20" s="155"/>
      <c r="R20" s="155" t="str">
        <f t="shared" si="3"/>
        <v>Iliac crest sf</v>
      </c>
      <c r="S20" s="165"/>
      <c r="T20" s="165"/>
      <c r="U20" s="180">
        <f t="shared" si="4"/>
        <v>23</v>
      </c>
      <c r="V20" s="143" t="s">
        <v>28</v>
      </c>
      <c r="W20" s="32">
        <f>1/6.8*(+U20*((170.18/U$14)^1)-22.4)</f>
        <v>5.2445280437756987E-2</v>
      </c>
      <c r="X20" s="181"/>
      <c r="Y20" s="143"/>
      <c r="Z20" s="145"/>
      <c r="AA20" s="145"/>
    </row>
    <row r="21" spans="1:27" ht="18" customHeight="1">
      <c r="B21" s="161" t="str">
        <f>IF(Info!D34,"Supraspinale sf","PL Supraespinal")</f>
        <v>Supraspinale sf</v>
      </c>
      <c r="C21" s="116"/>
      <c r="D21" s="116"/>
      <c r="E21" s="122"/>
      <c r="F21" s="110"/>
      <c r="G21" s="85">
        <v>11</v>
      </c>
      <c r="H21" s="85">
        <v>11</v>
      </c>
      <c r="I21" s="85"/>
      <c r="J21" s="134"/>
      <c r="K21" s="162">
        <f t="shared" si="5"/>
        <v>0</v>
      </c>
      <c r="L21" s="163" t="str">
        <f t="shared" si="6"/>
        <v>No</v>
      </c>
      <c r="M21" s="134"/>
      <c r="N21" s="164">
        <f t="shared" si="2"/>
        <v>11</v>
      </c>
      <c r="O21" s="154"/>
      <c r="P21" s="154"/>
      <c r="Q21" s="155"/>
      <c r="R21" s="155" t="str">
        <f t="shared" si="3"/>
        <v>Supraspinale sf</v>
      </c>
      <c r="S21" s="165"/>
      <c r="T21" s="165"/>
      <c r="U21" s="180">
        <f t="shared" si="4"/>
        <v>11</v>
      </c>
      <c r="V21" s="143" t="s">
        <v>27</v>
      </c>
      <c r="W21" s="32">
        <f>1/4.47*(+U21*((170.18/U$14)^1)-15.4)</f>
        <v>-1.0103792726705167</v>
      </c>
      <c r="X21" s="181"/>
      <c r="Y21" s="143"/>
      <c r="Z21" s="145"/>
      <c r="AA21" s="145"/>
    </row>
    <row r="22" spans="1:27" ht="18" customHeight="1">
      <c r="B22" s="161" t="str">
        <f>IF(Info!D34,"Abdominal sf","PL Abdominal")</f>
        <v>Abdominal sf</v>
      </c>
      <c r="C22" s="116"/>
      <c r="D22" s="116"/>
      <c r="E22" s="122"/>
      <c r="F22" s="110"/>
      <c r="G22" s="85">
        <v>24</v>
      </c>
      <c r="H22" s="85">
        <v>24</v>
      </c>
      <c r="I22" s="85"/>
      <c r="J22" s="134"/>
      <c r="K22" s="162">
        <f t="shared" si="5"/>
        <v>0</v>
      </c>
      <c r="L22" s="163" t="str">
        <f t="shared" si="6"/>
        <v>No</v>
      </c>
      <c r="M22" s="134"/>
      <c r="N22" s="164">
        <f t="shared" si="2"/>
        <v>24</v>
      </c>
      <c r="O22" s="154"/>
      <c r="P22" s="154"/>
      <c r="Q22" s="155"/>
      <c r="R22" s="155" t="str">
        <f t="shared" si="3"/>
        <v>Abdominal sf</v>
      </c>
      <c r="S22" s="165"/>
      <c r="T22" s="165"/>
      <c r="U22" s="180">
        <f t="shared" si="4"/>
        <v>24</v>
      </c>
      <c r="V22" s="143" t="s">
        <v>27</v>
      </c>
      <c r="W22" s="32">
        <f>1/7.78*(+U22*((170.18/U$14)^1)-25.4)</f>
        <v>-0.2125904226699343</v>
      </c>
      <c r="X22" s="181"/>
      <c r="Y22" s="143"/>
      <c r="Z22" s="145"/>
      <c r="AA22" s="145"/>
    </row>
    <row r="23" spans="1:27" ht="18" customHeight="1">
      <c r="B23" s="161" t="str">
        <f>IF(Info!D34,"Thigh sf","PL Muslo")</f>
        <v>Thigh sf</v>
      </c>
      <c r="C23" s="116"/>
      <c r="D23" s="116"/>
      <c r="E23" s="122"/>
      <c r="F23" s="110"/>
      <c r="G23" s="85">
        <v>11</v>
      </c>
      <c r="H23" s="85">
        <v>11</v>
      </c>
      <c r="I23" s="85"/>
      <c r="J23" s="134"/>
      <c r="K23" s="182">
        <f t="shared" si="5"/>
        <v>0</v>
      </c>
      <c r="L23" s="163" t="str">
        <f t="shared" si="6"/>
        <v>No</v>
      </c>
      <c r="M23" s="134"/>
      <c r="N23" s="164">
        <f t="shared" si="2"/>
        <v>11</v>
      </c>
      <c r="O23" s="154"/>
      <c r="P23" s="154"/>
      <c r="Q23" s="155"/>
      <c r="R23" s="155" t="str">
        <f t="shared" si="3"/>
        <v>Thigh sf</v>
      </c>
      <c r="S23" s="165"/>
      <c r="T23" s="165"/>
      <c r="U23" s="180">
        <f t="shared" si="4"/>
        <v>11</v>
      </c>
      <c r="V23" s="143" t="s">
        <v>27</v>
      </c>
      <c r="W23" s="32">
        <f>1/8.33*(+U23*((170.18/U$14)^1)-27)</f>
        <v>-1.9347413383958234</v>
      </c>
      <c r="X23" s="181"/>
      <c r="Y23" s="143"/>
      <c r="Z23" s="145"/>
      <c r="AA23" s="145"/>
    </row>
    <row r="24" spans="1:27" ht="18" customHeight="1" thickBot="1">
      <c r="B24" s="183" t="str">
        <f>IF(Info!D34,"Calf sf","PL Pierna")</f>
        <v>Calf sf</v>
      </c>
      <c r="C24" s="184"/>
      <c r="D24" s="184"/>
      <c r="E24" s="185"/>
      <c r="F24" s="186"/>
      <c r="G24" s="86">
        <v>5</v>
      </c>
      <c r="H24" s="86">
        <v>5</v>
      </c>
      <c r="I24" s="86"/>
      <c r="J24" s="187"/>
      <c r="K24" s="182">
        <f t="shared" si="5"/>
        <v>0</v>
      </c>
      <c r="L24" s="188" t="str">
        <f t="shared" si="6"/>
        <v>No</v>
      </c>
      <c r="M24" s="187"/>
      <c r="N24" s="189">
        <f t="shared" si="2"/>
        <v>5</v>
      </c>
      <c r="O24" s="154"/>
      <c r="P24" s="154"/>
      <c r="Q24" s="155"/>
      <c r="R24" s="168" t="str">
        <f t="shared" si="3"/>
        <v>Calf sf</v>
      </c>
      <c r="S24" s="169"/>
      <c r="T24" s="169"/>
      <c r="U24" s="170">
        <f t="shared" si="4"/>
        <v>5</v>
      </c>
      <c r="V24" s="173" t="s">
        <v>27</v>
      </c>
      <c r="W24" s="33">
        <f>1/4.67*(+U24*((170.18/U$14)^1)-16)</f>
        <v>-2.3667895025148149</v>
      </c>
      <c r="X24" s="172"/>
      <c r="Y24" s="173"/>
      <c r="Z24" s="174"/>
      <c r="AA24" s="145"/>
    </row>
    <row r="25" spans="1:27" ht="18" customHeight="1">
      <c r="B25" s="161" t="str">
        <f>IF(Info!D34,"Arm girth relaxed","PR Brazo relajado")</f>
        <v>Arm girth relaxed</v>
      </c>
      <c r="C25" s="116"/>
      <c r="D25" s="116"/>
      <c r="E25" s="122"/>
      <c r="F25" s="110"/>
      <c r="G25" s="85">
        <v>33.5</v>
      </c>
      <c r="H25" s="85">
        <v>33.5</v>
      </c>
      <c r="I25" s="85"/>
      <c r="J25" s="134"/>
      <c r="K25" s="151">
        <f t="shared" si="5"/>
        <v>0</v>
      </c>
      <c r="L25" s="163" t="str">
        <f>IF(ABS(K25)&gt;1%,"Yes","No")</f>
        <v>No</v>
      </c>
      <c r="M25" s="134"/>
      <c r="N25" s="164">
        <f t="shared" si="2"/>
        <v>33.5</v>
      </c>
      <c r="O25" s="154"/>
      <c r="P25" s="154"/>
      <c r="Q25" s="155"/>
      <c r="R25" s="155" t="str">
        <f t="shared" si="3"/>
        <v>Arm girth relaxed</v>
      </c>
      <c r="S25" s="165"/>
      <c r="T25" s="165"/>
      <c r="U25" s="180">
        <f t="shared" si="4"/>
        <v>33.5</v>
      </c>
      <c r="V25" s="143" t="s">
        <v>26</v>
      </c>
      <c r="W25" s="32">
        <f>1/2.33*(+U25*((170.18/U$14)^1)-26.89)</f>
        <v>2.6847739295338862</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30.672566611769184</v>
      </c>
      <c r="V26" s="143" t="s">
        <v>26</v>
      </c>
      <c r="W26" s="32">
        <f>1/1.91*(+U26*((170.18/U$14)^1)-22.05)</f>
        <v>4.3445068366945074</v>
      </c>
      <c r="X26" s="181"/>
      <c r="Y26" s="143"/>
      <c r="Z26" s="145"/>
      <c r="AA26" s="145"/>
    </row>
    <row r="27" spans="1:27" ht="18" customHeight="1">
      <c r="B27" s="199" t="str">
        <f>IF(Info!D34,"Arm girth flexed and tensed","PR Brazo flexionado y contraído")</f>
        <v>Arm girth flexed and tensed</v>
      </c>
      <c r="C27" s="116"/>
      <c r="D27" s="116"/>
      <c r="E27" s="122"/>
      <c r="F27" s="110"/>
      <c r="G27" s="85">
        <v>37.5</v>
      </c>
      <c r="H27" s="85">
        <v>37.5</v>
      </c>
      <c r="I27" s="85"/>
      <c r="J27" s="134"/>
      <c r="K27" s="182">
        <f t="shared" si="5"/>
        <v>0</v>
      </c>
      <c r="L27" s="163" t="str">
        <f>IF(ABS(K27)&gt;1%,"Yes","No")</f>
        <v>No</v>
      </c>
      <c r="M27" s="134"/>
      <c r="N27" s="164">
        <f>IF(I27=0,AVERAGE(G27,H27),MEDIAN(G27,H27,I27))</f>
        <v>37.5</v>
      </c>
      <c r="O27" s="154"/>
      <c r="P27" s="154"/>
      <c r="Q27" s="155"/>
      <c r="R27" s="155" t="str">
        <f t="shared" si="3"/>
        <v>Arm girth flexed and tensed</v>
      </c>
      <c r="S27" s="165"/>
      <c r="T27" s="165"/>
      <c r="U27" s="180">
        <f>+N27</f>
        <v>37.5</v>
      </c>
      <c r="V27" s="143" t="s">
        <v>26</v>
      </c>
      <c r="W27" s="32">
        <f>1/2.37*(+U27*((170.18/U$14)^1)-29.41)</f>
        <v>3.2460749681091148</v>
      </c>
      <c r="X27" s="181"/>
      <c r="Y27" s="143"/>
      <c r="Z27" s="145"/>
      <c r="AA27" s="145"/>
    </row>
    <row r="28" spans="1:27" ht="18" customHeight="1">
      <c r="B28" s="200" t="str">
        <f>IF(Info!D34,"Waist girth","PR Cintura")</f>
        <v>Waist girth</v>
      </c>
      <c r="C28" s="116"/>
      <c r="D28" s="116"/>
      <c r="E28" s="122"/>
      <c r="F28" s="110"/>
      <c r="G28" s="85">
        <v>83</v>
      </c>
      <c r="H28" s="85">
        <v>83</v>
      </c>
      <c r="I28" s="85"/>
      <c r="J28" s="134"/>
      <c r="K28" s="182">
        <f t="shared" si="5"/>
        <v>0</v>
      </c>
      <c r="L28" s="163" t="str">
        <f>IF(ABS(K28)&gt;1%,"Yes","No")</f>
        <v>No</v>
      </c>
      <c r="M28" s="134"/>
      <c r="N28" s="164">
        <f>IF(I28=0,AVERAGE(G28,H28),MEDIAN(G28,H28,I28))</f>
        <v>83</v>
      </c>
      <c r="O28" s="154"/>
      <c r="P28" s="154"/>
      <c r="Q28" s="155"/>
      <c r="R28" s="155" t="str">
        <f t="shared" si="3"/>
        <v>Waist girth</v>
      </c>
      <c r="S28" s="165"/>
      <c r="T28" s="165"/>
      <c r="U28" s="180">
        <f>+N28</f>
        <v>83</v>
      </c>
      <c r="V28" s="143" t="s">
        <v>26</v>
      </c>
      <c r="W28" s="32">
        <f>1/4.45*(+U28*((170.18/U$14)^1)-71.91)</f>
        <v>2.2947739743924753</v>
      </c>
      <c r="X28" s="181"/>
      <c r="Y28" s="143"/>
      <c r="Z28" s="145"/>
      <c r="AA28" s="145"/>
    </row>
    <row r="29" spans="1:27" ht="18" customHeight="1">
      <c r="B29" s="200" t="str">
        <f>IF(Info!D34,"Hips girth","PR Caderas")</f>
        <v>Hips girth</v>
      </c>
      <c r="C29" s="116"/>
      <c r="D29" s="116"/>
      <c r="E29" s="122"/>
      <c r="F29" s="110"/>
      <c r="G29" s="85">
        <v>91.7</v>
      </c>
      <c r="H29" s="85">
        <v>91.5</v>
      </c>
      <c r="I29" s="85">
        <v>91.5</v>
      </c>
      <c r="J29" s="134"/>
      <c r="K29" s="182">
        <f t="shared" si="5"/>
        <v>-2.183406113537149E-3</v>
      </c>
      <c r="L29" s="163" t="str">
        <f>IF(ABS(K29)&gt;1%,"Yes","No")</f>
        <v>No</v>
      </c>
      <c r="M29" s="134"/>
      <c r="N29" s="164">
        <f>IF(I29=0,AVERAGE(G29,H29),MEDIAN(G29,H29,I29))</f>
        <v>91.5</v>
      </c>
      <c r="O29" s="154"/>
      <c r="P29" s="154"/>
      <c r="Q29" s="155"/>
      <c r="R29" s="155" t="str">
        <f t="shared" si="3"/>
        <v>Hips girth</v>
      </c>
      <c r="S29" s="165"/>
      <c r="T29" s="165"/>
      <c r="U29" s="180">
        <f>+N29</f>
        <v>91.5</v>
      </c>
      <c r="V29" s="143" t="s">
        <v>26</v>
      </c>
      <c r="W29" s="32">
        <f>1/5.58*(+U29*((170.18/U$14)^1)-94.67)</f>
        <v>-0.74161248645494737</v>
      </c>
      <c r="X29" s="181"/>
      <c r="Y29" s="143"/>
      <c r="Z29" s="145"/>
      <c r="AA29" s="145"/>
    </row>
    <row r="30" spans="1:27" ht="18" customHeight="1">
      <c r="B30" s="200" t="str">
        <f>IF(Info!D34,"Thigh middle girth","PR Muslo medio")</f>
        <v>Thigh middle girth</v>
      </c>
      <c r="C30" s="116"/>
      <c r="D30" s="116"/>
      <c r="E30" s="122"/>
      <c r="F30" s="110"/>
      <c r="G30" s="85">
        <v>50.5</v>
      </c>
      <c r="H30" s="85">
        <v>50.5</v>
      </c>
      <c r="I30" s="85"/>
      <c r="J30" s="134"/>
      <c r="K30" s="182">
        <f>+(H30-G30)/(AVERAGE(G30:H30))</f>
        <v>0</v>
      </c>
      <c r="L30" s="163" t="str">
        <f>IF(ABS(K30)&gt;1%,"Yes","No")</f>
        <v>No</v>
      </c>
      <c r="M30" s="134"/>
      <c r="N30" s="164">
        <f>IF(I30=0,AVERAGE(G30,H30),MEDIAN(G30,H30,I30))</f>
        <v>50.5</v>
      </c>
      <c r="O30" s="154"/>
      <c r="P30" s="154"/>
      <c r="Q30" s="155"/>
      <c r="R30" s="155" t="str">
        <f t="shared" si="3"/>
        <v>Thigh middle girth</v>
      </c>
      <c r="S30" s="165"/>
      <c r="T30" s="165"/>
      <c r="U30" s="180">
        <f>+N30</f>
        <v>50.5</v>
      </c>
      <c r="V30" s="143" t="s">
        <v>26</v>
      </c>
      <c r="W30" s="32">
        <f>1/4.56*(+U30*((170.18/U$14)^1)-53.2)</f>
        <v>-0.70928957568339523</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47.044248081051229</v>
      </c>
      <c r="V31" s="143" t="s">
        <v>26</v>
      </c>
      <c r="W31" s="32">
        <f>1/3.59*(+U31*((170.18/U$14)^1)-47.34)</f>
        <v>-0.22104337236299423</v>
      </c>
      <c r="X31" s="181"/>
      <c r="Y31" s="143"/>
      <c r="Z31" s="145"/>
      <c r="AA31" s="145"/>
    </row>
    <row r="32" spans="1:27" ht="18" customHeight="1">
      <c r="B32" s="161" t="str">
        <f>IF(Info!D34,"Calf girth","PR Pierna")</f>
        <v>Calf girth</v>
      </c>
      <c r="C32" s="116"/>
      <c r="D32" s="116"/>
      <c r="E32" s="122"/>
      <c r="F32" s="110"/>
      <c r="G32" s="85">
        <v>34</v>
      </c>
      <c r="H32" s="85">
        <v>34</v>
      </c>
      <c r="I32" s="85"/>
      <c r="J32" s="134"/>
      <c r="K32" s="182">
        <f t="shared" si="5"/>
        <v>0</v>
      </c>
      <c r="L32" s="163" t="str">
        <f>IF(ABS(K32)&gt;1%,"Yes","No")</f>
        <v>No</v>
      </c>
      <c r="M32" s="134"/>
      <c r="N32" s="164">
        <f>IF(I32=0,AVERAGE(G32,H32),MEDIAN(G32,H32,I32))</f>
        <v>34</v>
      </c>
      <c r="O32" s="154"/>
      <c r="P32" s="154"/>
      <c r="Q32" s="155"/>
      <c r="R32" s="155" t="str">
        <f t="shared" si="3"/>
        <v>Calf girth</v>
      </c>
      <c r="S32" s="165"/>
      <c r="T32" s="165"/>
      <c r="U32" s="201">
        <f>+N32</f>
        <v>34</v>
      </c>
      <c r="V32" s="143" t="s">
        <v>26</v>
      </c>
      <c r="W32" s="32">
        <f>1/2.3*(+U32*((170.18/U$14)^1)-35.25)</f>
        <v>-0.69989888776541864</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32.429203673205102</v>
      </c>
      <c r="V33" s="173" t="s">
        <v>26</v>
      </c>
      <c r="W33" s="33">
        <f>1/1.97*(+U33*((170.18/U$14)^1)-30.22)</f>
        <v>0.9472372833964261</v>
      </c>
      <c r="X33" s="172"/>
      <c r="Y33" s="173"/>
      <c r="Z33" s="174"/>
      <c r="AA33" s="145"/>
    </row>
    <row r="34" spans="1:27" ht="18" customHeight="1" thickBot="1">
      <c r="B34" s="161" t="str">
        <f>IF(Info!D34,"Humerus breadth","D Húmero")</f>
        <v>Humerus breadth</v>
      </c>
      <c r="C34" s="116"/>
      <c r="D34" s="116"/>
      <c r="E34" s="122"/>
      <c r="F34" s="110"/>
      <c r="G34" s="87">
        <v>6.7</v>
      </c>
      <c r="H34" s="87">
        <v>6.7</v>
      </c>
      <c r="I34" s="87"/>
      <c r="J34" s="134"/>
      <c r="K34" s="151">
        <f t="shared" si="5"/>
        <v>0</v>
      </c>
      <c r="L34" s="209" t="str">
        <f>IF(ABS(K34)&gt;1%,"Yes","No")</f>
        <v>No</v>
      </c>
      <c r="M34" s="134"/>
      <c r="N34" s="210">
        <f>IF(I34=0,AVERAGE(G34,H34),MEDIAN(G34,H34,I34))</f>
        <v>6.7</v>
      </c>
      <c r="O34" s="154"/>
      <c r="P34" s="154"/>
      <c r="Q34" s="155"/>
      <c r="R34" s="155" t="str">
        <f t="shared" si="3"/>
        <v>Humerus breadth</v>
      </c>
      <c r="S34" s="165"/>
      <c r="T34" s="165"/>
      <c r="U34" s="180">
        <f>+N34</f>
        <v>6.7</v>
      </c>
      <c r="V34" s="143" t="s">
        <v>26</v>
      </c>
      <c r="W34" s="32">
        <f>1/0.35*(+U34*((170.18/U$14)^1)-6.48)</f>
        <v>0.4260132890365449</v>
      </c>
      <c r="X34" s="181"/>
      <c r="Y34" s="143"/>
      <c r="Z34" s="145"/>
      <c r="AA34" s="145"/>
    </row>
    <row r="35" spans="1:27" ht="18" customHeight="1">
      <c r="B35" s="161" t="str">
        <f>IF(Info!D34,"Bi-styloid breadth","D Biestiloideo")</f>
        <v>Bi-styloid breadth</v>
      </c>
      <c r="C35" s="116"/>
      <c r="D35" s="116"/>
      <c r="E35" s="122"/>
      <c r="F35" s="110"/>
      <c r="G35" s="91">
        <v>5.2</v>
      </c>
      <c r="H35" s="91">
        <v>5.2</v>
      </c>
      <c r="I35" s="91"/>
      <c r="J35" s="134"/>
      <c r="K35" s="151">
        <f>+(H35-G35)/(AVERAGE(G35:H35))</f>
        <v>0</v>
      </c>
      <c r="L35" s="209" t="str">
        <f>IF(ABS(K35)&gt;1%,"Yes","No")</f>
        <v>No</v>
      </c>
      <c r="M35" s="134"/>
      <c r="N35" s="210">
        <f>IF(I35=0,AVERAGE(G35,H35),MEDIAN(G35,H35,I35))</f>
        <v>5.2</v>
      </c>
      <c r="O35" s="154"/>
      <c r="P35" s="154"/>
      <c r="Q35" s="155"/>
      <c r="R35" s="155" t="str">
        <f t="shared" si="3"/>
        <v>Bi-styloid breadth</v>
      </c>
      <c r="S35" s="165"/>
      <c r="T35" s="165"/>
      <c r="U35" s="180">
        <f>+N35</f>
        <v>5.2</v>
      </c>
      <c r="V35" s="143" t="s">
        <v>26</v>
      </c>
      <c r="W35" s="32">
        <f>1/0.28*(+U35*((170.18/U$14)^1)-5.21)</f>
        <v>-0.23222591362126135</v>
      </c>
      <c r="X35" s="181"/>
      <c r="Y35" s="143"/>
      <c r="Z35" s="145"/>
      <c r="AA35" s="145"/>
    </row>
    <row r="36" spans="1:27" ht="18" customHeight="1" thickBot="1">
      <c r="B36" s="183" t="str">
        <f>IF(Info!D34,"Femur breadth","D Fémur")</f>
        <v>Femur breadth</v>
      </c>
      <c r="C36" s="184"/>
      <c r="D36" s="184"/>
      <c r="E36" s="185"/>
      <c r="F36" s="186"/>
      <c r="G36" s="86">
        <v>9</v>
      </c>
      <c r="H36" s="86">
        <v>9</v>
      </c>
      <c r="I36" s="86"/>
      <c r="J36" s="187"/>
      <c r="K36" s="182">
        <f>+(H36-G36)/(AVERAGE(G36:H36))</f>
        <v>0</v>
      </c>
      <c r="L36" s="188" t="str">
        <f>IF(ABS(K36)&gt;1%,"Yes","No")</f>
        <v>No</v>
      </c>
      <c r="M36" s="187"/>
      <c r="N36" s="189">
        <f>IF(I36=0,AVERAGE(G36,H36),MEDIAN(G36,H36,I36))</f>
        <v>9</v>
      </c>
      <c r="O36" s="154"/>
      <c r="P36" s="154"/>
      <c r="Q36" s="155"/>
      <c r="R36" s="211" t="str">
        <f t="shared" si="3"/>
        <v>Femur breadth</v>
      </c>
      <c r="S36" s="212"/>
      <c r="T36" s="212"/>
      <c r="U36" s="213">
        <f>+N36</f>
        <v>9</v>
      </c>
      <c r="V36" s="214" t="s">
        <v>26</v>
      </c>
      <c r="W36" s="215">
        <f>1/0.48*(+U36*((170.18/U$14)^1)-9.52)</f>
        <v>-1.2817344961240282</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0</v>
      </c>
      <c r="F40" s="223">
        <f>IF(H13=I13,1,0)</f>
        <v>0</v>
      </c>
      <c r="G40" s="223">
        <f>IF(I13="",0,1)</f>
        <v>0</v>
      </c>
      <c r="H40" s="222">
        <f>IF(L13="Yes",1,0)</f>
        <v>0</v>
      </c>
      <c r="I40" s="224">
        <f>COUNTIF(G13,"")</f>
        <v>0</v>
      </c>
      <c r="J40" s="224">
        <f>COUNTIF(H13,"")</f>
        <v>0</v>
      </c>
      <c r="K40" s="224"/>
      <c r="L40" s="225"/>
      <c r="M40" s="225"/>
      <c r="N40" s="224"/>
      <c r="Q40" s="113"/>
      <c r="R40" s="113"/>
      <c r="S40" s="226" t="str">
        <f>'3'!S40</f>
        <v>Somatotype</v>
      </c>
      <c r="T40" s="227" t="str">
        <f>IF(Info!D34,"Endomorphy","Endomorfia")</f>
        <v>Endomorphy</v>
      </c>
      <c r="U40" s="201">
        <f>-0.7182+0.1451*((U17+U18+U21)*(170.18/U14))-0.00068*(((U17+U18+U21)*(170.18/U14))^2)+0.0000014*(((U17+U18+U21)*(170.18/U14))^3)</f>
        <v>3.3432331942852809</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0</v>
      </c>
      <c r="F41" s="223">
        <f t="shared" ref="F41:F62" si="10">IF(H14=I14,1,0)</f>
        <v>0</v>
      </c>
      <c r="G41" s="223">
        <f t="shared" ref="G41:G62" si="11">IF(I14="",0,1)</f>
        <v>0</v>
      </c>
      <c r="H41" s="222">
        <f t="shared" ref="H41:H62" si="12">IF(L14="Yes",1,0)</f>
        <v>0</v>
      </c>
      <c r="I41" s="224">
        <f t="shared" ref="I41:J56" si="13">COUNTIF(G14,"")</f>
        <v>0</v>
      </c>
      <c r="J41" s="224">
        <f t="shared" si="13"/>
        <v>0</v>
      </c>
      <c r="K41" s="224"/>
      <c r="L41" s="225"/>
      <c r="M41" s="225"/>
      <c r="N41" s="224"/>
      <c r="O41" s="104"/>
      <c r="P41" s="104"/>
      <c r="Q41" s="113"/>
      <c r="R41" s="113"/>
      <c r="S41" s="227" t="str">
        <f>'3'!S41</f>
        <v>(Heath-Carter)</v>
      </c>
      <c r="T41" s="227" t="str">
        <f>IF(Info!D34,"Mesomorphy","Mesomorfia")</f>
        <v>Mesomorphy</v>
      </c>
      <c r="U41" s="201">
        <f>(0.858*U34)+(0.601*U36)+(0.188*(U27-(U17/10)))+(0.161*(U32-(U24/10)))-(0.131*U14)+4.5</f>
        <v>5.3998999999999988</v>
      </c>
      <c r="V41" s="126"/>
      <c r="W41" s="228"/>
      <c r="X41" s="34"/>
      <c r="Y41" s="126"/>
      <c r="Z41" s="115"/>
      <c r="AA41" s="115"/>
    </row>
    <row r="42" spans="1:27" s="109" customFormat="1">
      <c r="B42" s="223" t="str">
        <f t="shared" si="7"/>
        <v>Sitting height</v>
      </c>
      <c r="C42" s="224"/>
      <c r="D42" s="223">
        <f t="shared" si="8"/>
        <v>1</v>
      </c>
      <c r="E42" s="223">
        <f t="shared" si="9"/>
        <v>0</v>
      </c>
      <c r="F42" s="223">
        <f t="shared" si="10"/>
        <v>0</v>
      </c>
      <c r="G42" s="223">
        <f t="shared" si="11"/>
        <v>0</v>
      </c>
      <c r="H42" s="222">
        <f t="shared" si="12"/>
        <v>0</v>
      </c>
      <c r="I42" s="224">
        <f t="shared" si="13"/>
        <v>0</v>
      </c>
      <c r="J42" s="224">
        <f t="shared" si="13"/>
        <v>0</v>
      </c>
      <c r="K42" s="224"/>
      <c r="L42" s="225"/>
      <c r="M42" s="225"/>
      <c r="N42" s="224"/>
      <c r="O42" s="104"/>
      <c r="P42" s="104"/>
      <c r="Q42" s="113"/>
      <c r="R42" s="113"/>
      <c r="S42" s="124"/>
      <c r="T42" s="227" t="str">
        <f>IF(Info!D34,"Ectomorphy","Ectomorfia")</f>
        <v>Ectomorphy</v>
      </c>
      <c r="U42" s="201">
        <f>IF(V42&gt;40.75,((0.732*V42)-28.58),IF(V42&gt;38.28,((0.463*V42)-17.63),0.1))</f>
        <v>2.2210810872949764</v>
      </c>
      <c r="V42" s="224">
        <f>U14/(U13^(1/3))</f>
        <v>42.077979627452152</v>
      </c>
      <c r="W42" s="228"/>
      <c r="X42" s="34"/>
      <c r="Y42" s="126"/>
      <c r="Z42" s="115"/>
      <c r="AA42" s="115"/>
    </row>
    <row r="43" spans="1:27" s="109" customFormat="1">
      <c r="B43" s="223" t="str">
        <f t="shared" si="7"/>
        <v>Arm Span</v>
      </c>
      <c r="C43" s="224"/>
      <c r="D43" s="223">
        <f t="shared" si="8"/>
        <v>1</v>
      </c>
      <c r="E43" s="223">
        <f t="shared" si="9"/>
        <v>0</v>
      </c>
      <c r="F43" s="223">
        <f t="shared" si="10"/>
        <v>0</v>
      </c>
      <c r="G43" s="223">
        <f t="shared" si="11"/>
        <v>0</v>
      </c>
      <c r="H43" s="222">
        <f t="shared" si="12"/>
        <v>0</v>
      </c>
      <c r="I43" s="224">
        <f t="shared" si="13"/>
        <v>0</v>
      </c>
      <c r="J43" s="224">
        <f t="shared" si="13"/>
        <v>0</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1</v>
      </c>
      <c r="E44" s="223">
        <f t="shared" si="9"/>
        <v>0</v>
      </c>
      <c r="F44" s="223">
        <f t="shared" si="10"/>
        <v>0</v>
      </c>
      <c r="G44" s="223">
        <f t="shared" si="11"/>
        <v>0</v>
      </c>
      <c r="H44" s="222">
        <f t="shared" si="12"/>
        <v>0</v>
      </c>
      <c r="I44" s="224">
        <f t="shared" si="13"/>
        <v>0</v>
      </c>
      <c r="J44" s="224">
        <f t="shared" si="13"/>
        <v>0</v>
      </c>
      <c r="K44" s="224"/>
      <c r="L44" s="225"/>
      <c r="M44" s="225"/>
      <c r="N44" s="224"/>
      <c r="Q44" s="113"/>
      <c r="R44" s="113"/>
      <c r="S44" s="226" t="str">
        <f>'3'!S44</f>
        <v>Body Mass Index (MBI)</v>
      </c>
      <c r="T44" s="229"/>
      <c r="U44" s="201">
        <f>+U13/(U14/100)^2</f>
        <v>23.086803677663603</v>
      </c>
      <c r="V44" s="230" t="str">
        <f>'3'!V44</f>
        <v>kg/m2</v>
      </c>
      <c r="W44" s="227"/>
      <c r="X44" s="231"/>
      <c r="Y44" s="124"/>
      <c r="Z44" s="145"/>
      <c r="AA44" s="145"/>
    </row>
    <row r="45" spans="1:27">
      <c r="B45" s="223" t="str">
        <f t="shared" si="7"/>
        <v>Subscapular sf</v>
      </c>
      <c r="C45" s="222"/>
      <c r="D45" s="223">
        <f t="shared" si="8"/>
        <v>1</v>
      </c>
      <c r="E45" s="223">
        <f t="shared" si="9"/>
        <v>0</v>
      </c>
      <c r="F45" s="223">
        <f t="shared" si="10"/>
        <v>0</v>
      </c>
      <c r="G45" s="223">
        <f t="shared" si="11"/>
        <v>0</v>
      </c>
      <c r="H45" s="222">
        <f t="shared" si="12"/>
        <v>0</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1</v>
      </c>
      <c r="E46" s="223">
        <f t="shared" si="9"/>
        <v>0</v>
      </c>
      <c r="F46" s="223">
        <f t="shared" si="10"/>
        <v>0</v>
      </c>
      <c r="G46" s="223">
        <f t="shared" si="11"/>
        <v>0</v>
      </c>
      <c r="H46" s="222">
        <f t="shared" si="12"/>
        <v>0</v>
      </c>
      <c r="I46" s="224">
        <f t="shared" si="13"/>
        <v>0</v>
      </c>
      <c r="J46" s="224">
        <f t="shared" si="13"/>
        <v>0</v>
      </c>
      <c r="K46" s="224"/>
      <c r="L46" s="225"/>
      <c r="M46" s="225"/>
      <c r="N46" s="224"/>
      <c r="O46" s="104"/>
      <c r="P46" s="104"/>
      <c r="Q46" s="113"/>
      <c r="R46" s="113"/>
      <c r="S46" s="226" t="str">
        <f>'3'!S46</f>
        <v>Waist/Hip ratio</v>
      </c>
      <c r="T46" s="124"/>
      <c r="U46" s="232">
        <f>+U28/U29</f>
        <v>0.90710382513661203</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1</v>
      </c>
      <c r="H47" s="222">
        <f t="shared" si="12"/>
        <v>0</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1</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73</v>
      </c>
      <c r="V48" s="227" t="str">
        <f>'3'!V48</f>
        <v>mm</v>
      </c>
      <c r="W48" s="233"/>
      <c r="X48" s="201"/>
      <c r="Y48" s="126"/>
      <c r="Z48" s="115"/>
      <c r="AA48" s="115"/>
    </row>
    <row r="49" spans="1:27" s="109" customFormat="1">
      <c r="B49" s="223" t="str">
        <f t="shared" si="7"/>
        <v>Abdominal sf</v>
      </c>
      <c r="C49" s="222"/>
      <c r="D49" s="223">
        <f t="shared" si="8"/>
        <v>1</v>
      </c>
      <c r="E49" s="223">
        <f t="shared" si="9"/>
        <v>0</v>
      </c>
      <c r="F49" s="223">
        <f t="shared" si="10"/>
        <v>0</v>
      </c>
      <c r="G49" s="223">
        <f t="shared" si="11"/>
        <v>0</v>
      </c>
      <c r="H49" s="222">
        <f t="shared" si="12"/>
        <v>0</v>
      </c>
      <c r="I49" s="224">
        <f>COUNTIF(G22,"")</f>
        <v>0</v>
      </c>
      <c r="J49" s="224">
        <f t="shared" si="13"/>
        <v>0</v>
      </c>
      <c r="K49" s="224"/>
      <c r="L49" s="224"/>
      <c r="M49" s="224"/>
      <c r="N49" s="224"/>
      <c r="Q49" s="236"/>
      <c r="R49" s="236"/>
      <c r="S49" s="226" t="str">
        <f>'3'!S49</f>
        <v>Sum of 8 skinfolds</v>
      </c>
      <c r="T49" s="104"/>
      <c r="U49" s="235">
        <f>SUM(U17:U24)</f>
        <v>100</v>
      </c>
      <c r="V49" s="227" t="str">
        <f>'3'!V49</f>
        <v>mm</v>
      </c>
      <c r="W49" s="126"/>
      <c r="X49" s="232"/>
      <c r="Y49" s="126"/>
      <c r="Z49" s="115"/>
      <c r="AA49" s="115"/>
    </row>
    <row r="50" spans="1:27">
      <c r="A50" s="109"/>
      <c r="B50" s="223" t="str">
        <f t="shared" si="7"/>
        <v>Thigh sf</v>
      </c>
      <c r="C50" s="222"/>
      <c r="D50" s="223">
        <f t="shared" si="8"/>
        <v>1</v>
      </c>
      <c r="E50" s="223">
        <f t="shared" si="9"/>
        <v>0</v>
      </c>
      <c r="F50" s="223">
        <f t="shared" si="10"/>
        <v>0</v>
      </c>
      <c r="G50" s="223">
        <f t="shared" si="11"/>
        <v>0</v>
      </c>
      <c r="H50" s="222">
        <f t="shared" si="12"/>
        <v>0</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1</v>
      </c>
      <c r="E51" s="223">
        <f t="shared" si="9"/>
        <v>0</v>
      </c>
      <c r="F51" s="223">
        <f t="shared" si="10"/>
        <v>0</v>
      </c>
      <c r="G51" s="223">
        <f t="shared" si="11"/>
        <v>0</v>
      </c>
      <c r="H51" s="222">
        <f t="shared" si="12"/>
        <v>0</v>
      </c>
      <c r="I51" s="224">
        <f t="shared" si="13"/>
        <v>0</v>
      </c>
      <c r="J51" s="224">
        <f t="shared" si="13"/>
        <v>0</v>
      </c>
      <c r="K51" s="224"/>
      <c r="L51" s="224"/>
      <c r="M51" s="224"/>
      <c r="N51" s="224"/>
      <c r="Q51" s="113"/>
      <c r="R51" s="113"/>
      <c r="S51" s="226" t="str">
        <f>'3'!S51</f>
        <v>Fat percentage</v>
      </c>
      <c r="T51" s="238"/>
      <c r="U51" s="35">
        <f>IF(U8=1,0.735*(U17+U24)+1,0.61*(U17+U24)+5.1)</f>
        <v>11.29</v>
      </c>
      <c r="V51" s="227" t="str">
        <f>'3'!V51</f>
        <v>(Slaughter)</v>
      </c>
      <c r="X51" s="229"/>
      <c r="Y51" s="124"/>
      <c r="Z51" s="145"/>
      <c r="AA51" s="145"/>
    </row>
    <row r="52" spans="1:27">
      <c r="B52" s="223" t="str">
        <f t="shared" si="7"/>
        <v>Arm girth relaxed</v>
      </c>
      <c r="C52" s="222"/>
      <c r="D52" s="223">
        <f t="shared" si="8"/>
        <v>1</v>
      </c>
      <c r="E52" s="223">
        <f t="shared" si="9"/>
        <v>0</v>
      </c>
      <c r="F52" s="223">
        <f t="shared" si="10"/>
        <v>0</v>
      </c>
      <c r="G52" s="223">
        <f t="shared" si="11"/>
        <v>0</v>
      </c>
      <c r="H52" s="222">
        <f t="shared" si="12"/>
        <v>0</v>
      </c>
      <c r="I52" s="224">
        <f t="shared" si="13"/>
        <v>0</v>
      </c>
      <c r="J52" s="224">
        <f t="shared" si="13"/>
        <v>0</v>
      </c>
      <c r="K52" s="224"/>
      <c r="L52" s="224"/>
      <c r="M52" s="224"/>
      <c r="N52" s="224"/>
      <c r="Q52" s="113"/>
      <c r="R52" s="113"/>
      <c r="U52" s="35">
        <f>IF(U8=1,0.153*(U17+U18+U21+U22)+5.783,0.213*(U17+U18+U21+U22)+7.9)</f>
        <v>14.504000000000001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10.2523</v>
      </c>
      <c r="V53" s="227" t="str">
        <f>'3'!V53</f>
        <v>(Carter, from Yuhasz)</v>
      </c>
      <c r="X53" s="229"/>
      <c r="Y53" s="227"/>
      <c r="Z53" s="145"/>
      <c r="AA53" s="145"/>
    </row>
    <row r="54" spans="1:27">
      <c r="B54" s="223" t="str">
        <f t="shared" si="7"/>
        <v>Arm girth flexed and tensed</v>
      </c>
      <c r="C54" s="222"/>
      <c r="D54" s="223">
        <f t="shared" si="8"/>
        <v>1</v>
      </c>
      <c r="E54" s="223">
        <f t="shared" si="9"/>
        <v>0</v>
      </c>
      <c r="F54" s="223">
        <f t="shared" si="10"/>
        <v>0</v>
      </c>
      <c r="G54" s="223">
        <f t="shared" si="11"/>
        <v>0</v>
      </c>
      <c r="H54" s="222">
        <f t="shared" si="12"/>
        <v>0</v>
      </c>
      <c r="I54" s="224">
        <f t="shared" si="13"/>
        <v>0</v>
      </c>
      <c r="J54" s="224">
        <f t="shared" si="13"/>
        <v>0</v>
      </c>
      <c r="K54" s="224"/>
      <c r="L54" s="224"/>
      <c r="M54" s="224"/>
      <c r="N54" s="224"/>
      <c r="Q54" s="113"/>
      <c r="R54" s="113"/>
      <c r="S54" s="226" t="str">
        <f>'3'!S54</f>
        <v>Muscle percentage</v>
      </c>
      <c r="U54" s="35">
        <f>(U14/100*(0.00744*U26^2+0.00088*U31^2+0.00441*U33^2)+(2.4*(IF(U8=1,1,0)))-0.048*((U10-U11)/365.25)+IF(U7="1",-2,IF(U7="2",1.1,0))+7.8)*100/U13</f>
        <v>47.471001240184904</v>
      </c>
      <c r="V54" s="239" t="str">
        <f>'3'!V54</f>
        <v>(Lee)</v>
      </c>
      <c r="X54" s="235"/>
      <c r="Y54" s="227"/>
      <c r="Z54" s="145"/>
      <c r="AA54" s="145"/>
    </row>
    <row r="55" spans="1:27">
      <c r="B55" s="223" t="str">
        <f t="shared" si="7"/>
        <v>Waist girth</v>
      </c>
      <c r="C55" s="222"/>
      <c r="D55" s="223">
        <f t="shared" si="8"/>
        <v>1</v>
      </c>
      <c r="E55" s="223">
        <f t="shared" si="9"/>
        <v>0</v>
      </c>
      <c r="F55" s="223">
        <f t="shared" si="10"/>
        <v>0</v>
      </c>
      <c r="G55" s="223">
        <f t="shared" si="11"/>
        <v>0</v>
      </c>
      <c r="H55" s="222">
        <f t="shared" si="12"/>
        <v>0</v>
      </c>
      <c r="I55" s="224">
        <f t="shared" si="13"/>
        <v>0</v>
      </c>
      <c r="J55" s="224">
        <f t="shared" si="13"/>
        <v>0</v>
      </c>
      <c r="K55" s="224"/>
      <c r="L55" s="224">
        <f>COUNTIF(L13:L36,"yes")</f>
        <v>0</v>
      </c>
      <c r="M55" s="224"/>
      <c r="N55" s="224"/>
      <c r="Q55" s="113"/>
      <c r="R55" s="113"/>
      <c r="U55" s="35">
        <f>(U14/100*((0.0064*(U26^2))+(0.0032*(U31^2))+(0.0015*(U33^2)))+(2.56*IF(U8=1,1,0))+(0.136*(U10-U11)/365.25))*100/U13</f>
        <v>45.462223538153488</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1</v>
      </c>
      <c r="H56" s="222">
        <f t="shared" si="12"/>
        <v>0</v>
      </c>
      <c r="I56" s="224">
        <f t="shared" si="13"/>
        <v>0</v>
      </c>
      <c r="J56" s="224">
        <f t="shared" si="13"/>
        <v>0</v>
      </c>
      <c r="K56" s="224"/>
      <c r="L56" s="224"/>
      <c r="M56" s="224"/>
      <c r="N56" s="224"/>
      <c r="Q56" s="113"/>
      <c r="R56" s="113"/>
      <c r="S56" s="226" t="str">
        <f>'3'!S56</f>
        <v>Bone percentage</v>
      </c>
      <c r="U56" s="35">
        <f>(3.02*(((U14/100)^2)*(U35/100)*(U36/100)*400)^0.712)*100/U13</f>
        <v>14.957551570958794</v>
      </c>
      <c r="V56" s="239" t="str">
        <f>'3'!V56</f>
        <v>(Rocha)</v>
      </c>
      <c r="W56" s="241"/>
      <c r="X56" s="233"/>
      <c r="Y56" s="227"/>
      <c r="Z56" s="145"/>
      <c r="AA56" s="145"/>
    </row>
    <row r="57" spans="1:27">
      <c r="B57" s="223" t="str">
        <f t="shared" si="7"/>
        <v>Thigh middle girth</v>
      </c>
      <c r="C57" s="222"/>
      <c r="D57" s="223">
        <f t="shared" si="8"/>
        <v>1</v>
      </c>
      <c r="E57" s="223">
        <f t="shared" si="9"/>
        <v>0</v>
      </c>
      <c r="F57" s="223">
        <f t="shared" si="10"/>
        <v>0</v>
      </c>
      <c r="G57" s="223">
        <f t="shared" si="11"/>
        <v>0</v>
      </c>
      <c r="H57" s="222">
        <f t="shared" si="12"/>
        <v>0</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1</v>
      </c>
      <c r="E59" s="223">
        <f t="shared" si="9"/>
        <v>0</v>
      </c>
      <c r="F59" s="223">
        <f t="shared" si="10"/>
        <v>0</v>
      </c>
      <c r="G59" s="223">
        <f t="shared" si="11"/>
        <v>0</v>
      </c>
      <c r="H59" s="222">
        <f t="shared" si="12"/>
        <v>0</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0</v>
      </c>
      <c r="F61" s="223">
        <f t="shared" si="10"/>
        <v>0</v>
      </c>
      <c r="G61" s="223">
        <f t="shared" si="11"/>
        <v>0</v>
      </c>
      <c r="H61" s="222">
        <f t="shared" si="12"/>
        <v>0</v>
      </c>
      <c r="I61" s="224">
        <f t="shared" si="14"/>
        <v>0</v>
      </c>
      <c r="J61" s="224">
        <f t="shared" si="14"/>
        <v>0</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0</v>
      </c>
      <c r="F62" s="223">
        <f t="shared" si="10"/>
        <v>0</v>
      </c>
      <c r="G62" s="223">
        <f t="shared" si="11"/>
        <v>0</v>
      </c>
      <c r="H62" s="222">
        <f t="shared" si="12"/>
        <v>0</v>
      </c>
      <c r="I62" s="224">
        <f t="shared" si="14"/>
        <v>0</v>
      </c>
      <c r="J62" s="224">
        <f t="shared" si="14"/>
        <v>0</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0</v>
      </c>
      <c r="F63" s="223">
        <f>IF(H36=I36,1,0)</f>
        <v>0</v>
      </c>
      <c r="G63" s="223">
        <f>IF(I36="",0,1)</f>
        <v>0</v>
      </c>
      <c r="H63" s="222">
        <f>IF(L36="Yes",1,0)</f>
        <v>0</v>
      </c>
      <c r="I63" s="224">
        <f>COUNTIF(G36,"")</f>
        <v>0</v>
      </c>
      <c r="J63" s="224">
        <f>COUNTIF(H36,"")</f>
        <v>0</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19</v>
      </c>
      <c r="E64" s="223">
        <f t="shared" si="15"/>
        <v>0</v>
      </c>
      <c r="F64" s="223">
        <f t="shared" si="15"/>
        <v>2</v>
      </c>
      <c r="G64" s="223">
        <f t="shared" si="15"/>
        <v>2</v>
      </c>
      <c r="H64" s="223">
        <f t="shared" si="15"/>
        <v>0</v>
      </c>
      <c r="I64" s="224">
        <f t="shared" si="15"/>
        <v>0</v>
      </c>
      <c r="J64" s="224">
        <f t="shared" si="15"/>
        <v>0</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68.3</v>
      </c>
      <c r="H67" s="245">
        <f t="shared" si="16"/>
        <v>68.3</v>
      </c>
      <c r="I67" s="245">
        <f t="shared" si="16"/>
        <v>0</v>
      </c>
      <c r="J67" s="224">
        <f>ABS(G67-H67)</f>
        <v>0</v>
      </c>
      <c r="K67" s="224">
        <f>ABS(I67-G67)</f>
        <v>68.3</v>
      </c>
      <c r="L67" s="224">
        <f>ABS(H67-I67)</f>
        <v>68.3</v>
      </c>
      <c r="M67" s="246">
        <f>IF(J67=MIN(J67:L67),G67,IF(K67=MIN(J67:L67),G67,H67))</f>
        <v>68.3</v>
      </c>
      <c r="N67" s="246">
        <f>IF(J67=MIN(J67:L67),H67,IF(K67=MIN(J67:L67),I67,I67))</f>
        <v>68.3</v>
      </c>
    </row>
    <row r="68" spans="1:22" s="247" customFormat="1">
      <c r="B68" s="269" t="str">
        <f t="shared" ref="B68:B79" si="17">B14</f>
        <v>Stature</v>
      </c>
      <c r="C68" s="269"/>
      <c r="D68" s="269"/>
      <c r="E68" s="269"/>
      <c r="F68" s="269"/>
      <c r="G68" s="245">
        <f t="shared" si="16"/>
        <v>172</v>
      </c>
      <c r="H68" s="245">
        <f t="shared" si="16"/>
        <v>172</v>
      </c>
      <c r="I68" s="245">
        <f t="shared" si="16"/>
        <v>0</v>
      </c>
      <c r="J68" s="224">
        <f t="shared" ref="J68:J87" si="18">ABS(G68-H68)</f>
        <v>0</v>
      </c>
      <c r="K68" s="224">
        <f t="shared" ref="K68:K87" si="19">ABS(I68-G68)</f>
        <v>172</v>
      </c>
      <c r="L68" s="224">
        <f t="shared" ref="L68:L87" si="20">ABS(H68-I68)</f>
        <v>172</v>
      </c>
      <c r="M68" s="246">
        <f t="shared" ref="M68:M87" si="21">IF(J68=MIN(J68:L68),G68,IF(K68=MIN(J68:L68),G68,H68))</f>
        <v>172</v>
      </c>
      <c r="N68" s="246">
        <f t="shared" ref="N68:N87" si="22">IF(J68=MIN(J68:L68),H68,IF(K68=MIN(J68:L68),I68,I68))</f>
        <v>172</v>
      </c>
    </row>
    <row r="69" spans="1:22" s="247" customFormat="1">
      <c r="B69" s="269" t="str">
        <f t="shared" si="17"/>
        <v>Sitting height</v>
      </c>
      <c r="C69" s="269"/>
      <c r="D69" s="269"/>
      <c r="E69" s="269"/>
      <c r="F69" s="269"/>
      <c r="G69" s="245">
        <f t="shared" si="16"/>
        <v>85</v>
      </c>
      <c r="H69" s="245">
        <f t="shared" si="16"/>
        <v>85</v>
      </c>
      <c r="I69" s="245">
        <f t="shared" si="16"/>
        <v>0</v>
      </c>
      <c r="J69" s="224">
        <f t="shared" si="18"/>
        <v>0</v>
      </c>
      <c r="K69" s="224">
        <f t="shared" si="19"/>
        <v>85</v>
      </c>
      <c r="L69" s="224">
        <f t="shared" si="20"/>
        <v>85</v>
      </c>
      <c r="M69" s="246">
        <f t="shared" si="21"/>
        <v>85</v>
      </c>
      <c r="N69" s="246">
        <f t="shared" si="22"/>
        <v>85</v>
      </c>
    </row>
    <row r="70" spans="1:22" s="247" customFormat="1">
      <c r="B70" s="269" t="str">
        <f t="shared" si="17"/>
        <v>Arm Span</v>
      </c>
      <c r="C70" s="269"/>
      <c r="D70" s="269"/>
      <c r="E70" s="269"/>
      <c r="F70" s="269"/>
      <c r="G70" s="245">
        <f t="shared" si="16"/>
        <v>172</v>
      </c>
      <c r="H70" s="245">
        <f t="shared" si="16"/>
        <v>172</v>
      </c>
      <c r="I70" s="245">
        <f t="shared" si="16"/>
        <v>0</v>
      </c>
      <c r="J70" s="224">
        <f t="shared" si="18"/>
        <v>0</v>
      </c>
      <c r="K70" s="224">
        <f t="shared" si="19"/>
        <v>172</v>
      </c>
      <c r="L70" s="224">
        <f t="shared" si="20"/>
        <v>172</v>
      </c>
      <c r="M70" s="246">
        <f t="shared" si="21"/>
        <v>172</v>
      </c>
      <c r="N70" s="246">
        <f t="shared" si="22"/>
        <v>172</v>
      </c>
    </row>
    <row r="71" spans="1:22" s="247" customFormat="1">
      <c r="B71" s="269" t="str">
        <f t="shared" si="17"/>
        <v>Triceps sf</v>
      </c>
      <c r="C71" s="269"/>
      <c r="D71" s="269"/>
      <c r="E71" s="269"/>
      <c r="F71" s="269"/>
      <c r="G71" s="245">
        <f t="shared" si="16"/>
        <v>9</v>
      </c>
      <c r="H71" s="245">
        <f t="shared" si="16"/>
        <v>9</v>
      </c>
      <c r="I71" s="245">
        <f t="shared" si="16"/>
        <v>0</v>
      </c>
      <c r="J71" s="224">
        <f t="shared" si="18"/>
        <v>0</v>
      </c>
      <c r="K71" s="224">
        <f t="shared" si="19"/>
        <v>9</v>
      </c>
      <c r="L71" s="224">
        <f t="shared" si="20"/>
        <v>9</v>
      </c>
      <c r="M71" s="246">
        <f t="shared" si="21"/>
        <v>9</v>
      </c>
      <c r="N71" s="246">
        <f t="shared" si="22"/>
        <v>9</v>
      </c>
    </row>
    <row r="72" spans="1:22" s="247" customFormat="1">
      <c r="B72" s="269" t="str">
        <f t="shared" si="17"/>
        <v>Subscapular sf</v>
      </c>
      <c r="C72" s="269"/>
      <c r="D72" s="269"/>
      <c r="E72" s="269"/>
      <c r="F72" s="269"/>
      <c r="G72" s="245">
        <f t="shared" si="16"/>
        <v>13</v>
      </c>
      <c r="H72" s="245">
        <f t="shared" si="16"/>
        <v>13</v>
      </c>
      <c r="I72" s="245">
        <f t="shared" si="16"/>
        <v>0</v>
      </c>
      <c r="J72" s="224">
        <f t="shared" si="18"/>
        <v>0</v>
      </c>
      <c r="K72" s="224">
        <f t="shared" si="19"/>
        <v>13</v>
      </c>
      <c r="L72" s="224">
        <f t="shared" si="20"/>
        <v>13</v>
      </c>
      <c r="M72" s="246">
        <f t="shared" si="21"/>
        <v>13</v>
      </c>
      <c r="N72" s="246">
        <f t="shared" si="22"/>
        <v>13</v>
      </c>
    </row>
    <row r="73" spans="1:22" s="247" customFormat="1">
      <c r="B73" s="269" t="str">
        <f t="shared" si="17"/>
        <v>Biceps sf</v>
      </c>
      <c r="C73" s="269"/>
      <c r="D73" s="269"/>
      <c r="E73" s="269"/>
      <c r="F73" s="269"/>
      <c r="G73" s="245">
        <f t="shared" si="16"/>
        <v>4</v>
      </c>
      <c r="H73" s="245">
        <f t="shared" si="16"/>
        <v>4</v>
      </c>
      <c r="I73" s="245">
        <f t="shared" si="16"/>
        <v>0</v>
      </c>
      <c r="J73" s="224">
        <f t="shared" si="18"/>
        <v>0</v>
      </c>
      <c r="K73" s="224">
        <f t="shared" si="19"/>
        <v>4</v>
      </c>
      <c r="L73" s="224">
        <f t="shared" si="20"/>
        <v>4</v>
      </c>
      <c r="M73" s="246">
        <f t="shared" si="21"/>
        <v>4</v>
      </c>
      <c r="N73" s="246">
        <f t="shared" si="22"/>
        <v>4</v>
      </c>
    </row>
    <row r="74" spans="1:22" s="247" customFormat="1">
      <c r="B74" s="269" t="str">
        <f t="shared" si="17"/>
        <v>Iliac crest sf</v>
      </c>
      <c r="C74" s="269"/>
      <c r="D74" s="269"/>
      <c r="E74" s="269"/>
      <c r="F74" s="269"/>
      <c r="G74" s="245">
        <f t="shared" si="16"/>
        <v>22.5</v>
      </c>
      <c r="H74" s="245">
        <f t="shared" si="16"/>
        <v>23</v>
      </c>
      <c r="I74" s="245">
        <f t="shared" si="16"/>
        <v>23</v>
      </c>
      <c r="J74" s="224">
        <f t="shared" si="18"/>
        <v>0.5</v>
      </c>
      <c r="K74" s="224">
        <f t="shared" si="19"/>
        <v>0.5</v>
      </c>
      <c r="L74" s="224">
        <f t="shared" si="20"/>
        <v>0</v>
      </c>
      <c r="M74" s="246">
        <f t="shared" si="21"/>
        <v>23</v>
      </c>
      <c r="N74" s="246">
        <f t="shared" si="22"/>
        <v>23</v>
      </c>
    </row>
    <row r="75" spans="1:22" s="247" customFormat="1">
      <c r="B75" s="269" t="str">
        <f t="shared" si="17"/>
        <v>Supraspinale sf</v>
      </c>
      <c r="C75" s="269"/>
      <c r="D75" s="269"/>
      <c r="E75" s="269"/>
      <c r="F75" s="269"/>
      <c r="G75" s="245">
        <f t="shared" si="16"/>
        <v>11</v>
      </c>
      <c r="H75" s="245">
        <f t="shared" si="16"/>
        <v>11</v>
      </c>
      <c r="I75" s="245">
        <f t="shared" si="16"/>
        <v>0</v>
      </c>
      <c r="J75" s="224">
        <f t="shared" si="18"/>
        <v>0</v>
      </c>
      <c r="K75" s="224">
        <f t="shared" si="19"/>
        <v>11</v>
      </c>
      <c r="L75" s="224">
        <f t="shared" si="20"/>
        <v>11</v>
      </c>
      <c r="M75" s="246">
        <f t="shared" si="21"/>
        <v>11</v>
      </c>
      <c r="N75" s="246">
        <f t="shared" si="22"/>
        <v>11</v>
      </c>
    </row>
    <row r="76" spans="1:22" s="247" customFormat="1">
      <c r="B76" s="269" t="str">
        <f t="shared" si="17"/>
        <v>Abdominal sf</v>
      </c>
      <c r="C76" s="269"/>
      <c r="D76" s="269"/>
      <c r="E76" s="269"/>
      <c r="F76" s="269"/>
      <c r="G76" s="245">
        <f t="shared" si="16"/>
        <v>24</v>
      </c>
      <c r="H76" s="245">
        <f t="shared" si="16"/>
        <v>24</v>
      </c>
      <c r="I76" s="245">
        <f t="shared" si="16"/>
        <v>0</v>
      </c>
      <c r="J76" s="224">
        <f t="shared" si="18"/>
        <v>0</v>
      </c>
      <c r="K76" s="224">
        <f t="shared" si="19"/>
        <v>24</v>
      </c>
      <c r="L76" s="224">
        <f t="shared" si="20"/>
        <v>24</v>
      </c>
      <c r="M76" s="246">
        <f t="shared" si="21"/>
        <v>24</v>
      </c>
      <c r="N76" s="246">
        <f t="shared" si="22"/>
        <v>24</v>
      </c>
    </row>
    <row r="77" spans="1:22" s="247" customFormat="1">
      <c r="A77" s="244"/>
      <c r="B77" s="269" t="str">
        <f t="shared" si="17"/>
        <v>Thigh sf</v>
      </c>
      <c r="C77" s="269"/>
      <c r="D77" s="269"/>
      <c r="E77" s="269"/>
      <c r="F77" s="269"/>
      <c r="G77" s="245">
        <f t="shared" si="16"/>
        <v>11</v>
      </c>
      <c r="H77" s="245">
        <f t="shared" si="16"/>
        <v>11</v>
      </c>
      <c r="I77" s="245">
        <f t="shared" si="16"/>
        <v>0</v>
      </c>
      <c r="J77" s="224">
        <f t="shared" si="18"/>
        <v>0</v>
      </c>
      <c r="K77" s="224">
        <f t="shared" si="19"/>
        <v>11</v>
      </c>
      <c r="L77" s="224">
        <f t="shared" si="20"/>
        <v>11</v>
      </c>
      <c r="M77" s="246">
        <f t="shared" si="21"/>
        <v>11</v>
      </c>
      <c r="N77" s="246">
        <f t="shared" si="22"/>
        <v>11</v>
      </c>
    </row>
    <row r="78" spans="1:22" s="247" customFormat="1">
      <c r="B78" s="269" t="str">
        <f t="shared" si="17"/>
        <v>Calf sf</v>
      </c>
      <c r="C78" s="269"/>
      <c r="D78" s="269"/>
      <c r="E78" s="269"/>
      <c r="F78" s="269"/>
      <c r="G78" s="245">
        <f t="shared" si="16"/>
        <v>5</v>
      </c>
      <c r="H78" s="245">
        <f t="shared" si="16"/>
        <v>5</v>
      </c>
      <c r="I78" s="245">
        <f t="shared" si="16"/>
        <v>0</v>
      </c>
      <c r="J78" s="224">
        <f t="shared" si="18"/>
        <v>0</v>
      </c>
      <c r="K78" s="224">
        <f t="shared" si="19"/>
        <v>5</v>
      </c>
      <c r="L78" s="224">
        <f t="shared" si="20"/>
        <v>5</v>
      </c>
      <c r="M78" s="246">
        <f t="shared" si="21"/>
        <v>5</v>
      </c>
      <c r="N78" s="246">
        <f t="shared" si="22"/>
        <v>5</v>
      </c>
    </row>
    <row r="79" spans="1:22" s="247" customFormat="1">
      <c r="B79" s="269" t="str">
        <f t="shared" si="17"/>
        <v>Arm girth relaxed</v>
      </c>
      <c r="C79" s="269"/>
      <c r="D79" s="269"/>
      <c r="E79" s="269"/>
      <c r="F79" s="269"/>
      <c r="G79" s="245">
        <f t="shared" si="16"/>
        <v>33.5</v>
      </c>
      <c r="H79" s="245">
        <f t="shared" si="16"/>
        <v>33.5</v>
      </c>
      <c r="I79" s="245">
        <f t="shared" si="16"/>
        <v>0</v>
      </c>
      <c r="J79" s="224">
        <f t="shared" si="18"/>
        <v>0</v>
      </c>
      <c r="K79" s="224">
        <f t="shared" si="19"/>
        <v>33.5</v>
      </c>
      <c r="L79" s="224">
        <f t="shared" si="20"/>
        <v>33.5</v>
      </c>
      <c r="M79" s="246">
        <f t="shared" si="21"/>
        <v>33.5</v>
      </c>
      <c r="N79" s="246">
        <f t="shared" si="22"/>
        <v>33.5</v>
      </c>
    </row>
    <row r="80" spans="1:22" s="247" customFormat="1">
      <c r="B80" s="269" t="str">
        <f>B27</f>
        <v>Arm girth flexed and tensed</v>
      </c>
      <c r="C80" s="269"/>
      <c r="D80" s="269"/>
      <c r="E80" s="269"/>
      <c r="F80" s="269"/>
      <c r="G80" s="245">
        <f t="shared" ref="G80:I83" si="23">+G27</f>
        <v>37.5</v>
      </c>
      <c r="H80" s="245">
        <f t="shared" si="23"/>
        <v>37.5</v>
      </c>
      <c r="I80" s="245">
        <f t="shared" si="23"/>
        <v>0</v>
      </c>
      <c r="J80" s="224">
        <f t="shared" si="18"/>
        <v>0</v>
      </c>
      <c r="K80" s="224">
        <f t="shared" si="19"/>
        <v>37.5</v>
      </c>
      <c r="L80" s="224">
        <f t="shared" si="20"/>
        <v>37.5</v>
      </c>
      <c r="M80" s="246">
        <f t="shared" si="21"/>
        <v>37.5</v>
      </c>
      <c r="N80" s="246">
        <f t="shared" si="22"/>
        <v>37.5</v>
      </c>
    </row>
    <row r="81" spans="1:14" s="247" customFormat="1">
      <c r="B81" s="269" t="str">
        <f>B28</f>
        <v>Waist girth</v>
      </c>
      <c r="C81" s="269"/>
      <c r="D81" s="269"/>
      <c r="E81" s="269"/>
      <c r="F81" s="269"/>
      <c r="G81" s="245">
        <f t="shared" si="23"/>
        <v>83</v>
      </c>
      <c r="H81" s="245">
        <f t="shared" si="23"/>
        <v>83</v>
      </c>
      <c r="I81" s="245">
        <f t="shared" si="23"/>
        <v>0</v>
      </c>
      <c r="J81" s="224">
        <f t="shared" si="18"/>
        <v>0</v>
      </c>
      <c r="K81" s="224">
        <f t="shared" si="19"/>
        <v>83</v>
      </c>
      <c r="L81" s="224">
        <f t="shared" si="20"/>
        <v>83</v>
      </c>
      <c r="M81" s="246">
        <f t="shared" si="21"/>
        <v>83</v>
      </c>
      <c r="N81" s="246">
        <f t="shared" si="22"/>
        <v>83</v>
      </c>
    </row>
    <row r="82" spans="1:14" s="247" customFormat="1">
      <c r="B82" s="269" t="str">
        <f>B29</f>
        <v>Hips girth</v>
      </c>
      <c r="C82" s="269"/>
      <c r="D82" s="269"/>
      <c r="E82" s="269"/>
      <c r="F82" s="269"/>
      <c r="G82" s="245">
        <f t="shared" si="23"/>
        <v>91.7</v>
      </c>
      <c r="H82" s="245">
        <f t="shared" si="23"/>
        <v>91.5</v>
      </c>
      <c r="I82" s="245">
        <f t="shared" si="23"/>
        <v>91.5</v>
      </c>
      <c r="J82" s="224">
        <f t="shared" si="18"/>
        <v>0.20000000000000284</v>
      </c>
      <c r="K82" s="224">
        <f t="shared" si="19"/>
        <v>0.20000000000000284</v>
      </c>
      <c r="L82" s="224">
        <f t="shared" si="20"/>
        <v>0</v>
      </c>
      <c r="M82" s="246">
        <f t="shared" si="21"/>
        <v>91.5</v>
      </c>
      <c r="N82" s="246">
        <f t="shared" si="22"/>
        <v>91.5</v>
      </c>
    </row>
    <row r="83" spans="1:14">
      <c r="A83" s="247"/>
      <c r="B83" s="269" t="str">
        <f>B30</f>
        <v>Thigh middle girth</v>
      </c>
      <c r="C83" s="269"/>
      <c r="D83" s="269"/>
      <c r="E83" s="269"/>
      <c r="F83" s="269"/>
      <c r="G83" s="245">
        <f t="shared" si="23"/>
        <v>50.5</v>
      </c>
      <c r="H83" s="245">
        <f t="shared" si="23"/>
        <v>50.5</v>
      </c>
      <c r="I83" s="245">
        <f t="shared" si="23"/>
        <v>0</v>
      </c>
      <c r="J83" s="224">
        <f t="shared" si="18"/>
        <v>0</v>
      </c>
      <c r="K83" s="224">
        <f t="shared" si="19"/>
        <v>50.5</v>
      </c>
      <c r="L83" s="224">
        <f t="shared" si="20"/>
        <v>50.5</v>
      </c>
      <c r="M83" s="246">
        <f t="shared" si="21"/>
        <v>50.5</v>
      </c>
      <c r="N83" s="246">
        <f t="shared" si="22"/>
        <v>50.5</v>
      </c>
    </row>
    <row r="84" spans="1:14">
      <c r="B84" s="269" t="str">
        <f>B32</f>
        <v>Calf girth</v>
      </c>
      <c r="C84" s="269"/>
      <c r="D84" s="269"/>
      <c r="E84" s="269"/>
      <c r="F84" s="269"/>
      <c r="G84" s="245">
        <f>+G32</f>
        <v>34</v>
      </c>
      <c r="H84" s="245">
        <f>+H32</f>
        <v>34</v>
      </c>
      <c r="I84" s="245">
        <f>+I32</f>
        <v>0</v>
      </c>
      <c r="J84" s="224">
        <f t="shared" si="18"/>
        <v>0</v>
      </c>
      <c r="K84" s="224">
        <f t="shared" si="19"/>
        <v>34</v>
      </c>
      <c r="L84" s="224">
        <f t="shared" si="20"/>
        <v>34</v>
      </c>
      <c r="M84" s="246">
        <f t="shared" si="21"/>
        <v>34</v>
      </c>
      <c r="N84" s="246">
        <f t="shared" si="22"/>
        <v>34</v>
      </c>
    </row>
    <row r="85" spans="1:14">
      <c r="B85" s="269" t="str">
        <f>B34</f>
        <v>Humerus breadth</v>
      </c>
      <c r="C85" s="269"/>
      <c r="D85" s="269"/>
      <c r="E85" s="269"/>
      <c r="F85" s="269"/>
      <c r="G85" s="245">
        <f t="shared" ref="G85:I87" si="24">+G34</f>
        <v>6.7</v>
      </c>
      <c r="H85" s="245">
        <f t="shared" si="24"/>
        <v>6.7</v>
      </c>
      <c r="I85" s="245">
        <f t="shared" si="24"/>
        <v>0</v>
      </c>
      <c r="J85" s="224">
        <f t="shared" si="18"/>
        <v>0</v>
      </c>
      <c r="K85" s="224">
        <f t="shared" si="19"/>
        <v>6.7</v>
      </c>
      <c r="L85" s="224">
        <f t="shared" si="20"/>
        <v>6.7</v>
      </c>
      <c r="M85" s="246">
        <f t="shared" si="21"/>
        <v>6.7</v>
      </c>
      <c r="N85" s="246">
        <f t="shared" si="22"/>
        <v>6.7</v>
      </c>
    </row>
    <row r="86" spans="1:14">
      <c r="B86" s="269" t="str">
        <f>B35</f>
        <v>Bi-styloid breadth</v>
      </c>
      <c r="C86" s="269"/>
      <c r="D86" s="269"/>
      <c r="E86" s="269"/>
      <c r="F86" s="269"/>
      <c r="G86" s="245">
        <f t="shared" si="24"/>
        <v>5.2</v>
      </c>
      <c r="H86" s="245">
        <f t="shared" si="24"/>
        <v>5.2</v>
      </c>
      <c r="I86" s="245">
        <f t="shared" si="24"/>
        <v>0</v>
      </c>
      <c r="J86" s="224">
        <f t="shared" si="18"/>
        <v>0</v>
      </c>
      <c r="K86" s="224">
        <f t="shared" si="19"/>
        <v>5.2</v>
      </c>
      <c r="L86" s="224">
        <f t="shared" si="20"/>
        <v>5.2</v>
      </c>
      <c r="M86" s="246">
        <f t="shared" si="21"/>
        <v>5.2</v>
      </c>
      <c r="N86" s="246">
        <f t="shared" si="22"/>
        <v>5.2</v>
      </c>
    </row>
    <row r="87" spans="1:14">
      <c r="B87" s="269" t="str">
        <f>B36</f>
        <v>Femur breadth</v>
      </c>
      <c r="C87" s="269"/>
      <c r="D87" s="269"/>
      <c r="E87" s="269"/>
      <c r="F87" s="269"/>
      <c r="G87" s="245">
        <f t="shared" si="24"/>
        <v>9</v>
      </c>
      <c r="H87" s="245">
        <f t="shared" si="24"/>
        <v>9</v>
      </c>
      <c r="I87" s="245">
        <f t="shared" si="24"/>
        <v>0</v>
      </c>
      <c r="J87" s="224">
        <f t="shared" si="18"/>
        <v>0</v>
      </c>
      <c r="K87" s="224">
        <f t="shared" si="19"/>
        <v>9</v>
      </c>
      <c r="L87" s="224">
        <f t="shared" si="20"/>
        <v>9</v>
      </c>
      <c r="M87" s="246">
        <f t="shared" si="21"/>
        <v>9</v>
      </c>
      <c r="N87" s="246">
        <f t="shared" si="22"/>
        <v>9</v>
      </c>
    </row>
    <row r="88" spans="1:14">
      <c r="M88" s="103"/>
      <c r="N88" s="103"/>
    </row>
    <row r="89" spans="1:14">
      <c r="M89" s="103"/>
      <c r="N89" s="103"/>
    </row>
    <row r="90" spans="1:14">
      <c r="M90" s="103"/>
      <c r="N90" s="103"/>
    </row>
    <row r="91" spans="1:14">
      <c r="M91" s="103"/>
      <c r="N91" s="103"/>
    </row>
  </sheetData>
  <sheetProtection algorithmName="SHA-512" hashValue="oMowzjmrGgDirC1Tcm2DhoSEaBVuKOugbtOhDt56ZExJdRKihIyJ9LImIppyYNjixGsOSpnQRkwvDCoKYKbEew==" saltValue="AXI0huIfcEI7tWBEIUdNEg=="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A91"/>
  <sheetViews>
    <sheetView zoomScaleNormal="75" zoomScaleSheetLayoutView="75" workbookViewId="0">
      <selection activeCell="G18" sqref="G18"/>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69</v>
      </c>
      <c r="H4" s="71"/>
      <c r="I4" s="72"/>
      <c r="J4" s="118"/>
      <c r="K4" s="118"/>
      <c r="L4" s="111"/>
      <c r="M4" s="111"/>
      <c r="N4" s="111"/>
      <c r="O4" s="104"/>
      <c r="P4" s="104"/>
      <c r="Q4" s="113"/>
      <c r="R4" s="105" t="str">
        <f t="shared" ref="R4:R11" si="0">+B4</f>
        <v>Name</v>
      </c>
      <c r="S4" s="119"/>
      <c r="T4" s="119"/>
      <c r="U4" s="120" t="str">
        <f t="shared" ref="U4:U11" si="1">+G4</f>
        <v>Jennifer</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1</v>
      </c>
      <c r="H7" s="75"/>
      <c r="I7" s="76"/>
      <c r="J7" s="111"/>
      <c r="K7" s="111"/>
      <c r="L7" s="111"/>
      <c r="M7" s="111"/>
      <c r="N7" s="111"/>
      <c r="O7" s="104"/>
      <c r="P7" s="104"/>
      <c r="Q7" s="113"/>
      <c r="R7" s="113" t="str">
        <f t="shared" si="0"/>
        <v>Ethnicity (Asian=1; African-American=2; Caucasian=3)</v>
      </c>
      <c r="S7" s="124"/>
      <c r="T7" s="124"/>
      <c r="U7" s="125">
        <f t="shared" si="1"/>
        <v>1</v>
      </c>
      <c r="V7" s="126"/>
      <c r="W7" s="126"/>
      <c r="X7" s="127"/>
      <c r="Y7" s="126"/>
      <c r="Z7" s="115"/>
      <c r="AA7" s="115"/>
    </row>
    <row r="8" spans="1:27" s="109" customFormat="1" ht="24" customHeight="1">
      <c r="B8" s="116" t="str">
        <f>IF(Info!D34,"Sex (male=1, female=2)","Sexo (hombre=1, mujer=2)")</f>
        <v>Sex (male=1, female=2)</v>
      </c>
      <c r="C8" s="116"/>
      <c r="D8" s="116"/>
      <c r="E8" s="110"/>
      <c r="F8" s="128"/>
      <c r="G8" s="82">
        <v>2</v>
      </c>
      <c r="H8" s="74"/>
      <c r="I8" s="77"/>
      <c r="J8" s="129"/>
      <c r="K8" s="129"/>
      <c r="L8" s="129"/>
      <c r="M8" s="129"/>
      <c r="N8" s="123"/>
      <c r="O8" s="104"/>
      <c r="P8" s="104"/>
      <c r="Q8" s="113"/>
      <c r="R8" s="113" t="str">
        <f t="shared" si="0"/>
        <v>Sex (male=1, female=2)</v>
      </c>
      <c r="S8" s="124"/>
      <c r="T8" s="124"/>
      <c r="U8" s="125">
        <f t="shared" si="1"/>
        <v>2</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44449</v>
      </c>
      <c r="H10" s="76"/>
      <c r="I10" s="76"/>
      <c r="J10" s="111"/>
      <c r="K10" s="111"/>
      <c r="L10" s="111"/>
      <c r="M10" s="111"/>
      <c r="N10" s="122"/>
      <c r="O10" s="104"/>
      <c r="P10" s="104"/>
      <c r="Q10" s="113"/>
      <c r="R10" s="113" t="str">
        <f t="shared" si="0"/>
        <v>Date of Measurement</v>
      </c>
      <c r="S10" s="124"/>
      <c r="T10" s="124"/>
      <c r="U10" s="131">
        <f t="shared" si="1"/>
        <v>44449</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35983</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35983</v>
      </c>
      <c r="V11" s="138"/>
      <c r="W11" s="138"/>
      <c r="X11" s="139"/>
      <c r="Y11" s="140"/>
      <c r="Z11" s="141"/>
      <c r="AA11" s="115"/>
    </row>
    <row r="12" spans="1:27" ht="14.4" thickTop="1" thickBot="1">
      <c r="A12" s="109"/>
      <c r="B12" s="116" t="str">
        <f>IF(Info!D34,"Measure","Medida")</f>
        <v>Measure</v>
      </c>
      <c r="C12" s="116"/>
      <c r="D12" s="116"/>
      <c r="E12" s="122"/>
      <c r="F12" s="112"/>
      <c r="G12" s="78"/>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53.2</v>
      </c>
      <c r="H13" s="84"/>
      <c r="I13" s="84"/>
      <c r="J13" s="150"/>
      <c r="K13" s="151">
        <f>+(H13-G13)/(AVERAGE(G13:H13))</f>
        <v>-1</v>
      </c>
      <c r="L13" s="152" t="str">
        <f>IF(ABS(K13)&gt;1%,"Yes","No")</f>
        <v>Yes</v>
      </c>
      <c r="M13" s="150"/>
      <c r="N13" s="153">
        <f t="shared" ref="N13:N25" si="2">IF(I13=0,AVERAGE(G13,H13),MEDIAN(G13,H13,I13))</f>
        <v>53.2</v>
      </c>
      <c r="O13" s="154"/>
      <c r="P13" s="154"/>
      <c r="Q13" s="155"/>
      <c r="R13" s="156" t="str">
        <f t="shared" ref="R13:R36" si="3">+B13</f>
        <v>Mass</v>
      </c>
      <c r="S13" s="157"/>
      <c r="T13" s="157"/>
      <c r="U13" s="158">
        <f t="shared" ref="U13:U25" si="4">+N13</f>
        <v>53.2</v>
      </c>
      <c r="V13" s="159" t="s">
        <v>25</v>
      </c>
      <c r="W13" s="160">
        <f>1/8.6*(+U13*((170.18/U$14)^3)-64.58)</f>
        <v>-0.46924937217682783</v>
      </c>
      <c r="X13" s="121"/>
      <c r="Y13" s="107"/>
      <c r="Z13" s="108"/>
      <c r="AA13" s="115"/>
    </row>
    <row r="14" spans="1:27" s="109" customFormat="1">
      <c r="B14" s="161" t="str">
        <f>IF(Info!D34,"Stature","Talla")</f>
        <v>Stature</v>
      </c>
      <c r="C14" s="116"/>
      <c r="D14" s="116"/>
      <c r="E14" s="122"/>
      <c r="F14" s="110"/>
      <c r="G14" s="85">
        <v>163</v>
      </c>
      <c r="H14" s="85"/>
      <c r="I14" s="85"/>
      <c r="J14" s="134"/>
      <c r="K14" s="162">
        <f t="shared" ref="K14:K34" si="5">+(H14-G14)/(AVERAGE(G14:H14))</f>
        <v>-1</v>
      </c>
      <c r="L14" s="163" t="str">
        <f>IF(ABS(K14)&gt;1%,"Yes","No")</f>
        <v>Yes</v>
      </c>
      <c r="M14" s="134"/>
      <c r="N14" s="164">
        <f t="shared" si="2"/>
        <v>163</v>
      </c>
      <c r="O14" s="154"/>
      <c r="P14" s="154"/>
      <c r="Q14" s="155"/>
      <c r="R14" s="155" t="str">
        <f t="shared" si="3"/>
        <v>Stature</v>
      </c>
      <c r="S14" s="165"/>
      <c r="T14" s="165"/>
      <c r="U14" s="166">
        <f t="shared" si="4"/>
        <v>163</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v>17</v>
      </c>
      <c r="H17" s="84"/>
      <c r="I17" s="84"/>
      <c r="J17" s="150"/>
      <c r="K17" s="151">
        <f t="shared" si="5"/>
        <v>-1</v>
      </c>
      <c r="L17" s="152" t="str">
        <f t="shared" ref="L17:L24" si="6">IF(ABS(K17)&gt;5%,"Yes","No")</f>
        <v>Yes</v>
      </c>
      <c r="M17" s="150"/>
      <c r="N17" s="153">
        <f t="shared" si="2"/>
        <v>17</v>
      </c>
      <c r="O17" s="154"/>
      <c r="P17" s="154"/>
      <c r="Q17" s="155"/>
      <c r="R17" s="156" t="str">
        <f t="shared" si="3"/>
        <v>Triceps sf</v>
      </c>
      <c r="S17" s="157"/>
      <c r="T17" s="157"/>
      <c r="U17" s="175">
        <f t="shared" si="4"/>
        <v>17</v>
      </c>
      <c r="V17" s="176" t="s">
        <v>27</v>
      </c>
      <c r="W17" s="177">
        <f>1/4.47*(+U17*((170.18/U$14)^1)-15.4)</f>
        <v>0.52546629884300278</v>
      </c>
      <c r="X17" s="178"/>
      <c r="Y17" s="176"/>
      <c r="Z17" s="179"/>
      <c r="AA17" s="145"/>
    </row>
    <row r="18" spans="1:27" ht="18" customHeight="1">
      <c r="B18" s="161" t="str">
        <f>IF(Info!D34,"Subscapular sf","PL Subescapular")</f>
        <v>Subscapular sf</v>
      </c>
      <c r="C18" s="116"/>
      <c r="D18" s="116"/>
      <c r="E18" s="122"/>
      <c r="F18" s="110"/>
      <c r="G18" s="85">
        <v>11</v>
      </c>
      <c r="H18" s="85"/>
      <c r="I18" s="85"/>
      <c r="J18" s="134"/>
      <c r="K18" s="162">
        <f t="shared" si="5"/>
        <v>-1</v>
      </c>
      <c r="L18" s="163" t="str">
        <f t="shared" si="6"/>
        <v>Yes</v>
      </c>
      <c r="M18" s="134"/>
      <c r="N18" s="164">
        <f t="shared" si="2"/>
        <v>11</v>
      </c>
      <c r="O18" s="154"/>
      <c r="P18" s="154"/>
      <c r="Q18" s="155"/>
      <c r="R18" s="155" t="str">
        <f t="shared" si="3"/>
        <v>Subscapular sf</v>
      </c>
      <c r="S18" s="165"/>
      <c r="T18" s="165"/>
      <c r="U18" s="180">
        <f t="shared" si="4"/>
        <v>11</v>
      </c>
      <c r="V18" s="143" t="s">
        <v>27</v>
      </c>
      <c r="W18" s="32">
        <f>1/5.07*(+U18*((170.18/U$14)^1)-17.2)</f>
        <v>-1.1273096888953418</v>
      </c>
      <c r="X18" s="181"/>
      <c r="Y18" s="143"/>
      <c r="Z18" s="145"/>
      <c r="AA18" s="145"/>
    </row>
    <row r="19" spans="1:27" ht="18" customHeight="1">
      <c r="B19" s="161" t="str">
        <f>IF(Info!D34,"Biceps sf","PL Bíceps")</f>
        <v>Biceps sf</v>
      </c>
      <c r="C19" s="116"/>
      <c r="D19" s="116"/>
      <c r="E19" s="122"/>
      <c r="F19" s="110"/>
      <c r="G19" s="85">
        <v>3</v>
      </c>
      <c r="H19" s="85"/>
      <c r="I19" s="85"/>
      <c r="J19" s="134"/>
      <c r="K19" s="182">
        <f t="shared" si="5"/>
        <v>-1</v>
      </c>
      <c r="L19" s="163" t="str">
        <f t="shared" si="6"/>
        <v>Yes</v>
      </c>
      <c r="M19" s="134"/>
      <c r="N19" s="164">
        <f t="shared" si="2"/>
        <v>3</v>
      </c>
      <c r="O19" s="154"/>
      <c r="P19" s="154"/>
      <c r="Q19" s="155"/>
      <c r="R19" s="155" t="str">
        <f t="shared" si="3"/>
        <v>Biceps sf</v>
      </c>
      <c r="S19" s="165"/>
      <c r="T19" s="165"/>
      <c r="U19" s="180">
        <f t="shared" si="4"/>
        <v>3</v>
      </c>
      <c r="V19" s="143" t="s">
        <v>27</v>
      </c>
      <c r="W19" s="32">
        <f>1/2*(+U19*((170.18/U$14)^1)-8)</f>
        <v>-2.4339263803680979</v>
      </c>
      <c r="X19" s="181"/>
      <c r="Y19" s="143"/>
      <c r="Z19" s="145"/>
      <c r="AA19" s="145"/>
    </row>
    <row r="20" spans="1:27" ht="18" customHeight="1">
      <c r="B20" s="161" t="str">
        <f>IF(Info!D34,"Iliac crest sf","PL Cresta Iliaca")</f>
        <v>Iliac crest sf</v>
      </c>
      <c r="C20" s="116"/>
      <c r="D20" s="116"/>
      <c r="E20" s="122"/>
      <c r="F20" s="110"/>
      <c r="G20" s="85">
        <v>17</v>
      </c>
      <c r="H20" s="85"/>
      <c r="I20" s="85"/>
      <c r="J20" s="134"/>
      <c r="K20" s="182">
        <f t="shared" si="5"/>
        <v>-1</v>
      </c>
      <c r="L20" s="163" t="str">
        <f t="shared" si="6"/>
        <v>Yes</v>
      </c>
      <c r="M20" s="134"/>
      <c r="N20" s="164">
        <f t="shared" si="2"/>
        <v>17</v>
      </c>
      <c r="O20" s="154"/>
      <c r="P20" s="154"/>
      <c r="Q20" s="155"/>
      <c r="R20" s="155" t="str">
        <f t="shared" si="3"/>
        <v>Iliac crest sf</v>
      </c>
      <c r="S20" s="165"/>
      <c r="T20" s="165"/>
      <c r="U20" s="180">
        <f t="shared" si="4"/>
        <v>17</v>
      </c>
      <c r="V20" s="143" t="s">
        <v>28</v>
      </c>
      <c r="W20" s="32">
        <f>1/6.8*(+U20*((170.18/U$14)^1)-22.4)</f>
        <v>-0.68399494767232005</v>
      </c>
      <c r="X20" s="181"/>
      <c r="Y20" s="143"/>
      <c r="Z20" s="145"/>
      <c r="AA20" s="145"/>
    </row>
    <row r="21" spans="1:27" ht="18" customHeight="1">
      <c r="B21" s="161" t="str">
        <f>IF(Info!D34,"Supraspinale sf","PL Supraespinal")</f>
        <v>Supraspinale sf</v>
      </c>
      <c r="C21" s="116"/>
      <c r="D21" s="116"/>
      <c r="E21" s="122"/>
      <c r="F21" s="110"/>
      <c r="G21" s="85">
        <v>9</v>
      </c>
      <c r="H21" s="85"/>
      <c r="I21" s="85"/>
      <c r="J21" s="134"/>
      <c r="K21" s="162">
        <f t="shared" si="5"/>
        <v>-1</v>
      </c>
      <c r="L21" s="163" t="str">
        <f t="shared" si="6"/>
        <v>Yes</v>
      </c>
      <c r="M21" s="134"/>
      <c r="N21" s="164">
        <f t="shared" si="2"/>
        <v>9</v>
      </c>
      <c r="O21" s="154"/>
      <c r="P21" s="154"/>
      <c r="Q21" s="155"/>
      <c r="R21" s="155" t="str">
        <f t="shared" si="3"/>
        <v>Supraspinale sf</v>
      </c>
      <c r="S21" s="165"/>
      <c r="T21" s="165"/>
      <c r="U21" s="180">
        <f t="shared" si="4"/>
        <v>9</v>
      </c>
      <c r="V21" s="143" t="s">
        <v>27</v>
      </c>
      <c r="W21" s="32">
        <f>1/4.47*(+U21*((170.18/U$14)^1)-15.4)</f>
        <v>-1.343077915482906</v>
      </c>
      <c r="X21" s="181"/>
      <c r="Y21" s="143"/>
      <c r="Z21" s="145"/>
      <c r="AA21" s="145"/>
    </row>
    <row r="22" spans="1:27" ht="18" customHeight="1">
      <c r="B22" s="161" t="str">
        <f>IF(Info!D34,"Abdominal sf","PL Abdominal")</f>
        <v>Abdominal sf</v>
      </c>
      <c r="C22" s="116"/>
      <c r="D22" s="116"/>
      <c r="E22" s="122"/>
      <c r="F22" s="110"/>
      <c r="G22" s="85">
        <v>15.5</v>
      </c>
      <c r="H22" s="85"/>
      <c r="I22" s="85"/>
      <c r="J22" s="134"/>
      <c r="K22" s="162">
        <f t="shared" si="5"/>
        <v>-1</v>
      </c>
      <c r="L22" s="163" t="str">
        <f t="shared" si="6"/>
        <v>Yes</v>
      </c>
      <c r="M22" s="134"/>
      <c r="N22" s="164">
        <f t="shared" si="2"/>
        <v>15.5</v>
      </c>
      <c r="O22" s="154"/>
      <c r="P22" s="154"/>
      <c r="Q22" s="155"/>
      <c r="R22" s="155" t="str">
        <f t="shared" si="3"/>
        <v>Abdominal sf</v>
      </c>
      <c r="S22" s="165"/>
      <c r="T22" s="165"/>
      <c r="U22" s="180">
        <f t="shared" si="4"/>
        <v>15.5</v>
      </c>
      <c r="V22" s="143" t="s">
        <v>27</v>
      </c>
      <c r="W22" s="32">
        <f>1/7.78*(+U22*((170.18/U$14)^1)-25.4)</f>
        <v>-1.1847351238822206</v>
      </c>
      <c r="X22" s="181"/>
      <c r="Y22" s="143"/>
      <c r="Z22" s="145"/>
      <c r="AA22" s="145"/>
    </row>
    <row r="23" spans="1:27" ht="18" customHeight="1">
      <c r="B23" s="161" t="str">
        <f>IF(Info!D34,"Thigh sf","PL Muslo")</f>
        <v>Thigh sf</v>
      </c>
      <c r="C23" s="116"/>
      <c r="D23" s="116"/>
      <c r="E23" s="122"/>
      <c r="F23" s="110"/>
      <c r="G23" s="85">
        <v>21.5</v>
      </c>
      <c r="H23" s="85"/>
      <c r="I23" s="85"/>
      <c r="J23" s="134"/>
      <c r="K23" s="182">
        <f t="shared" si="5"/>
        <v>-1</v>
      </c>
      <c r="L23" s="163" t="str">
        <f t="shared" si="6"/>
        <v>Yes</v>
      </c>
      <c r="M23" s="134"/>
      <c r="N23" s="164">
        <f t="shared" si="2"/>
        <v>21.5</v>
      </c>
      <c r="O23" s="154"/>
      <c r="P23" s="154"/>
      <c r="Q23" s="155"/>
      <c r="R23" s="155" t="str">
        <f t="shared" si="3"/>
        <v>Thigh sf</v>
      </c>
      <c r="S23" s="165"/>
      <c r="T23" s="165"/>
      <c r="U23" s="180">
        <f t="shared" si="4"/>
        <v>21.5</v>
      </c>
      <c r="V23" s="143" t="s">
        <v>27</v>
      </c>
      <c r="W23" s="32">
        <f>1/8.33*(+U23*((170.18/U$14)^1)-27)</f>
        <v>-0.54657200303434239</v>
      </c>
      <c r="X23" s="181"/>
      <c r="Y23" s="143"/>
      <c r="Z23" s="145"/>
      <c r="AA23" s="145"/>
    </row>
    <row r="24" spans="1:27" ht="18" customHeight="1" thickBot="1">
      <c r="B24" s="183" t="str">
        <f>IF(Info!D34,"Calf sf","PL Pierna")</f>
        <v>Calf sf</v>
      </c>
      <c r="C24" s="184"/>
      <c r="D24" s="184"/>
      <c r="E24" s="185"/>
      <c r="F24" s="186"/>
      <c r="G24" s="86">
        <v>13.5</v>
      </c>
      <c r="H24" s="86"/>
      <c r="I24" s="86"/>
      <c r="J24" s="187"/>
      <c r="K24" s="182">
        <f t="shared" si="5"/>
        <v>-1</v>
      </c>
      <c r="L24" s="188" t="str">
        <f t="shared" si="6"/>
        <v>Yes</v>
      </c>
      <c r="M24" s="187"/>
      <c r="N24" s="189">
        <f t="shared" si="2"/>
        <v>13.5</v>
      </c>
      <c r="O24" s="154"/>
      <c r="P24" s="154"/>
      <c r="Q24" s="155"/>
      <c r="R24" s="168" t="str">
        <f t="shared" si="3"/>
        <v>Calf sf</v>
      </c>
      <c r="S24" s="169"/>
      <c r="T24" s="169"/>
      <c r="U24" s="170">
        <f t="shared" si="4"/>
        <v>13.5</v>
      </c>
      <c r="V24" s="173" t="s">
        <v>27</v>
      </c>
      <c r="W24" s="33">
        <f>1/4.67*(+U24*((170.18/U$14)^1)-16)</f>
        <v>-0.40799516559162335</v>
      </c>
      <c r="X24" s="172"/>
      <c r="Y24" s="173"/>
      <c r="Z24" s="174"/>
      <c r="AA24" s="145"/>
    </row>
    <row r="25" spans="1:27" ht="18" customHeight="1">
      <c r="B25" s="161" t="str">
        <f>IF(Info!D34,"Arm girth relaxed","PR Brazo relajado")</f>
        <v>Arm girth relaxed</v>
      </c>
      <c r="C25" s="116"/>
      <c r="D25" s="116"/>
      <c r="E25" s="122"/>
      <c r="F25" s="110"/>
      <c r="G25" s="85">
        <v>29</v>
      </c>
      <c r="H25" s="85"/>
      <c r="I25" s="85"/>
      <c r="J25" s="134"/>
      <c r="K25" s="151">
        <f t="shared" si="5"/>
        <v>-1</v>
      </c>
      <c r="L25" s="163" t="str">
        <f>IF(ABS(K25)&gt;1%,"Yes","No")</f>
        <v>Yes</v>
      </c>
      <c r="M25" s="134"/>
      <c r="N25" s="164">
        <f t="shared" si="2"/>
        <v>29</v>
      </c>
      <c r="O25" s="154"/>
      <c r="P25" s="154"/>
      <c r="Q25" s="155"/>
      <c r="R25" s="155" t="str">
        <f t="shared" si="3"/>
        <v>Arm girth relaxed</v>
      </c>
      <c r="S25" s="165"/>
      <c r="T25" s="165"/>
      <c r="U25" s="180">
        <f t="shared" si="4"/>
        <v>29</v>
      </c>
      <c r="V25" s="143" t="s">
        <v>26</v>
      </c>
      <c r="W25" s="32">
        <f>1/2.33*(+U25*((170.18/U$14)^1)-26.89)</f>
        <v>1.4538297480186431</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23.65929248889735</v>
      </c>
      <c r="V26" s="143" t="s">
        <v>26</v>
      </c>
      <c r="W26" s="32">
        <f>1/1.91*(+U26*((170.18/U$14)^1)-22.05)</f>
        <v>1.3882002883132087</v>
      </c>
      <c r="X26" s="181"/>
      <c r="Y26" s="143"/>
      <c r="Z26" s="145"/>
      <c r="AA26" s="145"/>
    </row>
    <row r="27" spans="1:27" ht="18" customHeight="1">
      <c r="B27" s="199" t="str">
        <f>IF(Info!D34,"Arm girth flexed and tensed","PR Brazo flexionado y contraído")</f>
        <v>Arm girth flexed and tensed</v>
      </c>
      <c r="C27" s="116"/>
      <c r="D27" s="116"/>
      <c r="E27" s="122"/>
      <c r="F27" s="110"/>
      <c r="G27" s="85">
        <v>29</v>
      </c>
      <c r="H27" s="85"/>
      <c r="I27" s="85"/>
      <c r="J27" s="134"/>
      <c r="K27" s="182">
        <f t="shared" si="5"/>
        <v>-1</v>
      </c>
      <c r="L27" s="163" t="str">
        <f>IF(ABS(K27)&gt;1%,"Yes","No")</f>
        <v>Yes</v>
      </c>
      <c r="M27" s="134"/>
      <c r="N27" s="164">
        <f>IF(I27=0,AVERAGE(G27,H27),MEDIAN(G27,H27,I27))</f>
        <v>29</v>
      </c>
      <c r="O27" s="154"/>
      <c r="P27" s="154"/>
      <c r="Q27" s="155"/>
      <c r="R27" s="155" t="str">
        <f t="shared" si="3"/>
        <v>Arm girth flexed and tensed</v>
      </c>
      <c r="S27" s="165"/>
      <c r="T27" s="165"/>
      <c r="U27" s="180">
        <f>+N27</f>
        <v>29</v>
      </c>
      <c r="V27" s="143" t="s">
        <v>26</v>
      </c>
      <c r="W27" s="32">
        <f>1/2.37*(+U27*((170.18/U$14)^1)-29.41)</f>
        <v>0.36600139784111335</v>
      </c>
      <c r="X27" s="181"/>
      <c r="Y27" s="143"/>
      <c r="Z27" s="145"/>
      <c r="AA27" s="145"/>
    </row>
    <row r="28" spans="1:27" ht="18" customHeight="1">
      <c r="B28" s="200" t="str">
        <f>IF(Info!D34,"Waist girth","PR Cintura")</f>
        <v>Waist girth</v>
      </c>
      <c r="C28" s="116"/>
      <c r="D28" s="116"/>
      <c r="E28" s="122"/>
      <c r="F28" s="110"/>
      <c r="G28" s="85">
        <v>62.5</v>
      </c>
      <c r="H28" s="85"/>
      <c r="I28" s="85"/>
      <c r="J28" s="134"/>
      <c r="K28" s="182">
        <f t="shared" si="5"/>
        <v>-1</v>
      </c>
      <c r="L28" s="163" t="str">
        <f>IF(ABS(K28)&gt;1%,"Yes","No")</f>
        <v>Yes</v>
      </c>
      <c r="M28" s="134"/>
      <c r="N28" s="164">
        <f>IF(I28=0,AVERAGE(G28,H28),MEDIAN(G28,H28,I28))</f>
        <v>62.5</v>
      </c>
      <c r="O28" s="154"/>
      <c r="P28" s="154"/>
      <c r="Q28" s="155"/>
      <c r="R28" s="155" t="str">
        <f t="shared" si="3"/>
        <v>Waist girth</v>
      </c>
      <c r="S28" s="165"/>
      <c r="T28" s="165"/>
      <c r="U28" s="180">
        <f>+N28</f>
        <v>62.5</v>
      </c>
      <c r="V28" s="143" t="s">
        <v>26</v>
      </c>
      <c r="W28" s="32">
        <f>1/4.45*(+U28*((170.18/U$14)^1)-71.91)</f>
        <v>-1.4959398910870598</v>
      </c>
      <c r="X28" s="181"/>
      <c r="Y28" s="143"/>
      <c r="Z28" s="145"/>
      <c r="AA28" s="145"/>
    </row>
    <row r="29" spans="1:27" ht="18" customHeight="1">
      <c r="B29" s="200" t="str">
        <f>IF(Info!D34,"Hips girth","PR Caderas")</f>
        <v>Hips girth</v>
      </c>
      <c r="C29" s="116"/>
      <c r="D29" s="116"/>
      <c r="E29" s="122"/>
      <c r="F29" s="110"/>
      <c r="G29" s="85">
        <v>93.5</v>
      </c>
      <c r="H29" s="85"/>
      <c r="I29" s="85"/>
      <c r="J29" s="134"/>
      <c r="K29" s="182">
        <f t="shared" si="5"/>
        <v>-1</v>
      </c>
      <c r="L29" s="163" t="str">
        <f>IF(ABS(K29)&gt;1%,"Yes","No")</f>
        <v>Yes</v>
      </c>
      <c r="M29" s="134"/>
      <c r="N29" s="164">
        <f>IF(I29=0,AVERAGE(G29,H29),MEDIAN(G29,H29,I29))</f>
        <v>93.5</v>
      </c>
      <c r="O29" s="154"/>
      <c r="P29" s="154"/>
      <c r="Q29" s="155"/>
      <c r="R29" s="155" t="str">
        <f t="shared" si="3"/>
        <v>Hips girth</v>
      </c>
      <c r="S29" s="165"/>
      <c r="T29" s="165"/>
      <c r="U29" s="180">
        <f>+N29</f>
        <v>93.5</v>
      </c>
      <c r="V29" s="143" t="s">
        <v>26</v>
      </c>
      <c r="W29" s="32">
        <f>1/5.58*(+U29*((170.18/U$14)^1)-94.67)</f>
        <v>0.52842096004573869</v>
      </c>
      <c r="X29" s="181"/>
      <c r="Y29" s="143"/>
      <c r="Z29" s="145"/>
      <c r="AA29" s="145"/>
    </row>
    <row r="30" spans="1:27" ht="18" customHeight="1">
      <c r="B30" s="200" t="str">
        <f>IF(Info!D34,"Thigh middle girth","PR Muslo medio")</f>
        <v>Thigh middle girth</v>
      </c>
      <c r="C30" s="116"/>
      <c r="D30" s="116"/>
      <c r="E30" s="122"/>
      <c r="F30" s="110"/>
      <c r="G30" s="85">
        <v>51</v>
      </c>
      <c r="H30" s="85"/>
      <c r="I30" s="85"/>
      <c r="J30" s="134"/>
      <c r="K30" s="182">
        <f>+(H30-G30)/(AVERAGE(G30:H30))</f>
        <v>-1</v>
      </c>
      <c r="L30" s="163" t="str">
        <f>IF(ABS(K30)&gt;1%,"Yes","No")</f>
        <v>Yes</v>
      </c>
      <c r="M30" s="134"/>
      <c r="N30" s="164">
        <f>IF(I30=0,AVERAGE(G30,H30),MEDIAN(G30,H30,I30))</f>
        <v>51</v>
      </c>
      <c r="O30" s="154"/>
      <c r="P30" s="154"/>
      <c r="Q30" s="155"/>
      <c r="R30" s="155" t="str">
        <f t="shared" si="3"/>
        <v>Thigh middle girth</v>
      </c>
      <c r="S30" s="165"/>
      <c r="T30" s="165"/>
      <c r="U30" s="180">
        <f>+N30</f>
        <v>51</v>
      </c>
      <c r="V30" s="143" t="s">
        <v>26</v>
      </c>
      <c r="W30" s="32">
        <f>1/4.56*(+U30*((170.18/U$14)^1)-53.2)</f>
        <v>1.0198041115058001E-2</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44.245575794781942</v>
      </c>
      <c r="V31" s="143" t="s">
        <v>26</v>
      </c>
      <c r="W31" s="32">
        <f>1/3.59*(+U31*((170.18/U$14)^1)-47.34)</f>
        <v>-0.31906610257533463</v>
      </c>
      <c r="X31" s="181"/>
      <c r="Y31" s="143"/>
      <c r="Z31" s="145"/>
      <c r="AA31" s="145"/>
    </row>
    <row r="32" spans="1:27" ht="18" customHeight="1">
      <c r="B32" s="161" t="str">
        <f>IF(Info!D34,"Calf girth","PR Pierna")</f>
        <v>Calf girth</v>
      </c>
      <c r="C32" s="116"/>
      <c r="D32" s="116"/>
      <c r="E32" s="122"/>
      <c r="F32" s="110"/>
      <c r="G32" s="85">
        <v>31.5</v>
      </c>
      <c r="H32" s="85"/>
      <c r="I32" s="85"/>
      <c r="J32" s="134"/>
      <c r="K32" s="182">
        <f t="shared" si="5"/>
        <v>-1</v>
      </c>
      <c r="L32" s="163" t="str">
        <f>IF(ABS(K32)&gt;1%,"Yes","No")</f>
        <v>Yes</v>
      </c>
      <c r="M32" s="134"/>
      <c r="N32" s="164">
        <f>IF(I32=0,AVERAGE(G32,H32),MEDIAN(G32,H32,I32))</f>
        <v>31.5</v>
      </c>
      <c r="O32" s="154"/>
      <c r="P32" s="154"/>
      <c r="Q32" s="155"/>
      <c r="R32" s="155" t="str">
        <f t="shared" si="3"/>
        <v>Calf girth</v>
      </c>
      <c r="S32" s="165"/>
      <c r="T32" s="165"/>
      <c r="U32" s="201">
        <f>+N32</f>
        <v>31.5</v>
      </c>
      <c r="V32" s="143" t="s">
        <v>26</v>
      </c>
      <c r="W32" s="32">
        <f>1/2.3*(+U32*((170.18/U$14)^1)-35.25)</f>
        <v>-1.0271539077087202</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27.25884991765378</v>
      </c>
      <c r="V33" s="173" t="s">
        <v>26</v>
      </c>
      <c r="W33" s="33">
        <f>1/1.97*(+U33*((170.18/U$14)^1)-30.22)</f>
        <v>-0.89361564888567491</v>
      </c>
      <c r="X33" s="172"/>
      <c r="Y33" s="173"/>
      <c r="Z33" s="174"/>
      <c r="AA33" s="145"/>
    </row>
    <row r="34" spans="1:27" ht="18" customHeight="1" thickBot="1">
      <c r="B34" s="161" t="str">
        <f>IF(Info!D34,"Humerus breadth","D Húmero")</f>
        <v>Humerus breadth</v>
      </c>
      <c r="C34" s="116"/>
      <c r="D34" s="116"/>
      <c r="E34" s="122"/>
      <c r="F34" s="110"/>
      <c r="G34" s="87"/>
      <c r="H34" s="87"/>
      <c r="I34" s="87"/>
      <c r="J34" s="134"/>
      <c r="K34" s="151"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51"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24"/>
      <c r="L40" s="225"/>
      <c r="M40" s="225"/>
      <c r="N40" s="224"/>
      <c r="Q40" s="113"/>
      <c r="R40" s="113"/>
      <c r="S40" s="226" t="str">
        <f>'3'!S40</f>
        <v>Somatotype</v>
      </c>
      <c r="T40" s="227" t="str">
        <f>IF(Info!D34,"Endomorphy","Endomorfia")</f>
        <v>Endomorphy</v>
      </c>
      <c r="U40" s="201">
        <f>-0.7182+0.1451*((U17+U18+U21)*(170.18/U14))-0.00068*(((U17+U18+U21)*(170.18/U14))^2)+0.0000014*(((U17+U18+U21)*(170.18/U14))^3)</f>
        <v>3.9529518375772845</v>
      </c>
      <c r="V40" s="124"/>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f>IF(V42&gt;40.75,((0.732*V42)-28.58),IF(V42&gt;38.28,((0.463*V42)-17.63),0.1))</f>
        <v>3.1445016063735522</v>
      </c>
      <c r="V42" s="224">
        <f>U14/(U13^(1/3))</f>
        <v>43.339483068816328</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3"/>
        <v>1</v>
      </c>
      <c r="K44" s="224"/>
      <c r="L44" s="225"/>
      <c r="M44" s="225"/>
      <c r="N44" s="224"/>
      <c r="Q44" s="113"/>
      <c r="R44" s="113"/>
      <c r="S44" s="226" t="str">
        <f>'3'!S44</f>
        <v>Body Mass Index (MBI)</v>
      </c>
      <c r="T44" s="229"/>
      <c r="U44" s="201">
        <f>+U13/(U14/100)^2</f>
        <v>20.023335466144758</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24"/>
      <c r="L46" s="225"/>
      <c r="M46" s="225"/>
      <c r="N46" s="224"/>
      <c r="O46" s="104"/>
      <c r="P46" s="104"/>
      <c r="Q46" s="113"/>
      <c r="R46" s="113"/>
      <c r="S46" s="226" t="str">
        <f>'3'!S46</f>
        <v>Waist/Hip ratio</v>
      </c>
      <c r="T46" s="124"/>
      <c r="U46" s="232">
        <f>+U28/U29</f>
        <v>0.66844919786096257</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24"/>
      <c r="L48" s="224"/>
      <c r="M48" s="224"/>
      <c r="N48" s="224"/>
      <c r="O48" s="104"/>
      <c r="P48" s="104"/>
      <c r="Q48" s="113"/>
      <c r="R48" s="113"/>
      <c r="S48" s="226" t="str">
        <f>'3'!S48</f>
        <v>Sum of 6 skinfolds</v>
      </c>
      <c r="T48" s="104"/>
      <c r="U48" s="235">
        <f>SUM(U17:U18,U21:U24)</f>
        <v>87.5</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24"/>
      <c r="L49" s="224"/>
      <c r="M49" s="224"/>
      <c r="N49" s="224"/>
      <c r="Q49" s="236"/>
      <c r="R49" s="236"/>
      <c r="S49" s="226" t="str">
        <f>'3'!S49</f>
        <v>Sum of 8 skinfolds</v>
      </c>
      <c r="T49" s="104"/>
      <c r="U49" s="235">
        <f>SUM(U17:U24)</f>
        <v>107.5</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24"/>
      <c r="L51" s="224"/>
      <c r="M51" s="224"/>
      <c r="N51" s="224"/>
      <c r="Q51" s="113"/>
      <c r="R51" s="113"/>
      <c r="S51" s="226" t="str">
        <f>'3'!S51</f>
        <v>Fat percentage</v>
      </c>
      <c r="T51" s="238"/>
      <c r="U51" s="35">
        <f>IF(U8=1,0.735*(U17+U24)+1,0.61*(U17+U24)+5.1)</f>
        <v>23.704999999999998</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24"/>
      <c r="L52" s="224"/>
      <c r="M52" s="224"/>
      <c r="N52" s="224"/>
      <c r="Q52" s="113"/>
      <c r="R52" s="113"/>
      <c r="U52" s="35">
        <f>IF(U8=1,0.153*(U17+U18+U21+U22)+5.783,0.213*(U17+U18+U21+U22)+7.9)</f>
        <v>19.0825</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17.125</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24"/>
      <c r="L54" s="224"/>
      <c r="M54" s="224"/>
      <c r="N54" s="224"/>
      <c r="Q54" s="113"/>
      <c r="R54" s="113"/>
      <c r="S54" s="226" t="str">
        <f>'3'!S54</f>
        <v>Muscle percentage</v>
      </c>
      <c r="U54" s="35">
        <f>(U14/100*(0.00744*U26^2+0.00088*U31^2+0.00441*U33^2)+(2.4*(IF(U8=1,1,0)))-0.048*((U10-U11)/365.25)+IF(U7="1",-2,IF(U7="2",1.1,0))+7.8)*100/U13</f>
        <v>40.648656282555976</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24"/>
      <c r="L55" s="224">
        <f>COUNTIF(L13:L36,"yes")</f>
        <v>16</v>
      </c>
      <c r="M55" s="224"/>
      <c r="N55" s="224"/>
      <c r="Q55" s="113"/>
      <c r="R55" s="113"/>
      <c r="U55" s="35">
        <f>(U14/100*((0.0064*(U26^2))+(0.0032*(U31^2))+(0.0015*(U33^2)))+(2.56*IF(U8=1,1,0))+(0.136*(U10-U11)/365.25))*100/U13</f>
        <v>39.510696862346741</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4"/>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4"/>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5</v>
      </c>
      <c r="E64" s="223">
        <f t="shared" si="15"/>
        <v>5</v>
      </c>
      <c r="F64" s="223">
        <f t="shared" si="15"/>
        <v>21</v>
      </c>
      <c r="G64" s="223">
        <f t="shared" si="15"/>
        <v>0</v>
      </c>
      <c r="H64" s="223" t="e">
        <f t="shared" si="15"/>
        <v>#DIV/0!</v>
      </c>
      <c r="I64" s="224">
        <f t="shared" si="15"/>
        <v>5</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53.2</v>
      </c>
      <c r="H67" s="245">
        <f t="shared" si="16"/>
        <v>0</v>
      </c>
      <c r="I67" s="245">
        <f t="shared" si="16"/>
        <v>0</v>
      </c>
      <c r="J67" s="224">
        <f>ABS(G67-H67)</f>
        <v>53.2</v>
      </c>
      <c r="K67" s="224">
        <f>ABS(I67-G67)</f>
        <v>53.2</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163</v>
      </c>
      <c r="H68" s="245">
        <f t="shared" si="16"/>
        <v>0</v>
      </c>
      <c r="I68" s="245">
        <f t="shared" si="16"/>
        <v>0</v>
      </c>
      <c r="J68" s="224">
        <f t="shared" ref="J68:J87" si="18">ABS(G68-H68)</f>
        <v>163</v>
      </c>
      <c r="K68" s="224">
        <f t="shared" ref="K68:K87" si="19">ABS(I68-G68)</f>
        <v>163</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17</v>
      </c>
      <c r="H71" s="245">
        <f t="shared" si="16"/>
        <v>0</v>
      </c>
      <c r="I71" s="245">
        <f t="shared" si="16"/>
        <v>0</v>
      </c>
      <c r="J71" s="224">
        <f t="shared" si="18"/>
        <v>17</v>
      </c>
      <c r="K71" s="224">
        <f t="shared" si="19"/>
        <v>17</v>
      </c>
      <c r="L71" s="224">
        <f t="shared" si="20"/>
        <v>0</v>
      </c>
      <c r="M71" s="246">
        <f t="shared" si="21"/>
        <v>0</v>
      </c>
      <c r="N71" s="246">
        <f t="shared" si="22"/>
        <v>0</v>
      </c>
    </row>
    <row r="72" spans="1:22" s="247" customFormat="1">
      <c r="B72" s="269" t="str">
        <f t="shared" si="17"/>
        <v>Subscapular sf</v>
      </c>
      <c r="C72" s="269"/>
      <c r="D72" s="269"/>
      <c r="E72" s="269"/>
      <c r="F72" s="269"/>
      <c r="G72" s="245">
        <f t="shared" si="16"/>
        <v>11</v>
      </c>
      <c r="H72" s="245">
        <f t="shared" si="16"/>
        <v>0</v>
      </c>
      <c r="I72" s="245">
        <f t="shared" si="16"/>
        <v>0</v>
      </c>
      <c r="J72" s="224">
        <f t="shared" si="18"/>
        <v>11</v>
      </c>
      <c r="K72" s="224">
        <f t="shared" si="19"/>
        <v>11</v>
      </c>
      <c r="L72" s="224">
        <f t="shared" si="20"/>
        <v>0</v>
      </c>
      <c r="M72" s="246">
        <f t="shared" si="21"/>
        <v>0</v>
      </c>
      <c r="N72" s="246">
        <f t="shared" si="22"/>
        <v>0</v>
      </c>
    </row>
    <row r="73" spans="1:22" s="247" customFormat="1">
      <c r="B73" s="269" t="str">
        <f t="shared" si="17"/>
        <v>Biceps sf</v>
      </c>
      <c r="C73" s="269"/>
      <c r="D73" s="269"/>
      <c r="E73" s="269"/>
      <c r="F73" s="269"/>
      <c r="G73" s="245">
        <f t="shared" si="16"/>
        <v>3</v>
      </c>
      <c r="H73" s="245">
        <f t="shared" si="16"/>
        <v>0</v>
      </c>
      <c r="I73" s="245">
        <f t="shared" si="16"/>
        <v>0</v>
      </c>
      <c r="J73" s="224">
        <f t="shared" si="18"/>
        <v>3</v>
      </c>
      <c r="K73" s="224">
        <f t="shared" si="19"/>
        <v>3</v>
      </c>
      <c r="L73" s="224">
        <f t="shared" si="20"/>
        <v>0</v>
      </c>
      <c r="M73" s="246">
        <f t="shared" si="21"/>
        <v>0</v>
      </c>
      <c r="N73" s="246">
        <f t="shared" si="22"/>
        <v>0</v>
      </c>
    </row>
    <row r="74" spans="1:22" s="247" customFormat="1">
      <c r="B74" s="269" t="str">
        <f t="shared" si="17"/>
        <v>Iliac crest sf</v>
      </c>
      <c r="C74" s="269"/>
      <c r="D74" s="269"/>
      <c r="E74" s="269"/>
      <c r="F74" s="269"/>
      <c r="G74" s="245">
        <f t="shared" si="16"/>
        <v>17</v>
      </c>
      <c r="H74" s="245">
        <f t="shared" si="16"/>
        <v>0</v>
      </c>
      <c r="I74" s="245">
        <f t="shared" si="16"/>
        <v>0</v>
      </c>
      <c r="J74" s="224">
        <f t="shared" si="18"/>
        <v>17</v>
      </c>
      <c r="K74" s="224">
        <f t="shared" si="19"/>
        <v>17</v>
      </c>
      <c r="L74" s="224">
        <f t="shared" si="20"/>
        <v>0</v>
      </c>
      <c r="M74" s="246">
        <f t="shared" si="21"/>
        <v>0</v>
      </c>
      <c r="N74" s="246">
        <f t="shared" si="22"/>
        <v>0</v>
      </c>
    </row>
    <row r="75" spans="1:22" s="247" customFormat="1">
      <c r="B75" s="269" t="str">
        <f t="shared" si="17"/>
        <v>Supraspinale sf</v>
      </c>
      <c r="C75" s="269"/>
      <c r="D75" s="269"/>
      <c r="E75" s="269"/>
      <c r="F75" s="269"/>
      <c r="G75" s="245">
        <f t="shared" si="16"/>
        <v>9</v>
      </c>
      <c r="H75" s="245">
        <f t="shared" si="16"/>
        <v>0</v>
      </c>
      <c r="I75" s="245">
        <f t="shared" si="16"/>
        <v>0</v>
      </c>
      <c r="J75" s="224">
        <f t="shared" si="18"/>
        <v>9</v>
      </c>
      <c r="K75" s="224">
        <f t="shared" si="19"/>
        <v>9</v>
      </c>
      <c r="L75" s="224">
        <f t="shared" si="20"/>
        <v>0</v>
      </c>
      <c r="M75" s="246">
        <f t="shared" si="21"/>
        <v>0</v>
      </c>
      <c r="N75" s="246">
        <f t="shared" si="22"/>
        <v>0</v>
      </c>
    </row>
    <row r="76" spans="1:22" s="247" customFormat="1">
      <c r="B76" s="269" t="str">
        <f t="shared" si="17"/>
        <v>Abdominal sf</v>
      </c>
      <c r="C76" s="269"/>
      <c r="D76" s="269"/>
      <c r="E76" s="269"/>
      <c r="F76" s="269"/>
      <c r="G76" s="245">
        <f t="shared" si="16"/>
        <v>15.5</v>
      </c>
      <c r="H76" s="245">
        <f t="shared" si="16"/>
        <v>0</v>
      </c>
      <c r="I76" s="245">
        <f t="shared" si="16"/>
        <v>0</v>
      </c>
      <c r="J76" s="224">
        <f t="shared" si="18"/>
        <v>15.5</v>
      </c>
      <c r="K76" s="224">
        <f t="shared" si="19"/>
        <v>15.5</v>
      </c>
      <c r="L76" s="224">
        <f t="shared" si="20"/>
        <v>0</v>
      </c>
      <c r="M76" s="246">
        <f t="shared" si="21"/>
        <v>0</v>
      </c>
      <c r="N76" s="246">
        <f t="shared" si="22"/>
        <v>0</v>
      </c>
    </row>
    <row r="77" spans="1:22" s="247" customFormat="1">
      <c r="A77" s="244"/>
      <c r="B77" s="269" t="str">
        <f t="shared" si="17"/>
        <v>Thigh sf</v>
      </c>
      <c r="C77" s="269"/>
      <c r="D77" s="269"/>
      <c r="E77" s="269"/>
      <c r="F77" s="269"/>
      <c r="G77" s="245">
        <f t="shared" si="16"/>
        <v>21.5</v>
      </c>
      <c r="H77" s="245">
        <f t="shared" si="16"/>
        <v>0</v>
      </c>
      <c r="I77" s="245">
        <f t="shared" si="16"/>
        <v>0</v>
      </c>
      <c r="J77" s="224">
        <f t="shared" si="18"/>
        <v>21.5</v>
      </c>
      <c r="K77" s="224">
        <f t="shared" si="19"/>
        <v>21.5</v>
      </c>
      <c r="L77" s="224">
        <f t="shared" si="20"/>
        <v>0</v>
      </c>
      <c r="M77" s="246">
        <f t="shared" si="21"/>
        <v>0</v>
      </c>
      <c r="N77" s="246">
        <f t="shared" si="22"/>
        <v>0</v>
      </c>
    </row>
    <row r="78" spans="1:22" s="247" customFormat="1">
      <c r="B78" s="269" t="str">
        <f t="shared" si="17"/>
        <v>Calf sf</v>
      </c>
      <c r="C78" s="269"/>
      <c r="D78" s="269"/>
      <c r="E78" s="269"/>
      <c r="F78" s="269"/>
      <c r="G78" s="245">
        <f t="shared" si="16"/>
        <v>13.5</v>
      </c>
      <c r="H78" s="245">
        <f t="shared" si="16"/>
        <v>0</v>
      </c>
      <c r="I78" s="245">
        <f t="shared" si="16"/>
        <v>0</v>
      </c>
      <c r="J78" s="224">
        <f t="shared" si="18"/>
        <v>13.5</v>
      </c>
      <c r="K78" s="224">
        <f t="shared" si="19"/>
        <v>13.5</v>
      </c>
      <c r="L78" s="224">
        <f t="shared" si="20"/>
        <v>0</v>
      </c>
      <c r="M78" s="246">
        <f t="shared" si="21"/>
        <v>0</v>
      </c>
      <c r="N78" s="246">
        <f t="shared" si="22"/>
        <v>0</v>
      </c>
    </row>
    <row r="79" spans="1:22" s="247" customFormat="1">
      <c r="B79" s="269" t="str">
        <f t="shared" si="17"/>
        <v>Arm girth relaxed</v>
      </c>
      <c r="C79" s="269"/>
      <c r="D79" s="269"/>
      <c r="E79" s="269"/>
      <c r="F79" s="269"/>
      <c r="G79" s="245">
        <f t="shared" si="16"/>
        <v>29</v>
      </c>
      <c r="H79" s="245">
        <f t="shared" si="16"/>
        <v>0</v>
      </c>
      <c r="I79" s="245">
        <f t="shared" si="16"/>
        <v>0</v>
      </c>
      <c r="J79" s="224">
        <f t="shared" si="18"/>
        <v>29</v>
      </c>
      <c r="K79" s="224">
        <f t="shared" si="19"/>
        <v>29</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29</v>
      </c>
      <c r="H80" s="245">
        <f t="shared" si="23"/>
        <v>0</v>
      </c>
      <c r="I80" s="245">
        <f t="shared" si="23"/>
        <v>0</v>
      </c>
      <c r="J80" s="224">
        <f t="shared" si="18"/>
        <v>29</v>
      </c>
      <c r="K80" s="224">
        <f t="shared" si="19"/>
        <v>29</v>
      </c>
      <c r="L80" s="224">
        <f t="shared" si="20"/>
        <v>0</v>
      </c>
      <c r="M80" s="246">
        <f t="shared" si="21"/>
        <v>0</v>
      </c>
      <c r="N80" s="246">
        <f t="shared" si="22"/>
        <v>0</v>
      </c>
    </row>
    <row r="81" spans="1:14" s="247" customFormat="1">
      <c r="B81" s="269" t="str">
        <f>B28</f>
        <v>Waist girth</v>
      </c>
      <c r="C81" s="269"/>
      <c r="D81" s="269"/>
      <c r="E81" s="269"/>
      <c r="F81" s="269"/>
      <c r="G81" s="245">
        <f t="shared" si="23"/>
        <v>62.5</v>
      </c>
      <c r="H81" s="245">
        <f t="shared" si="23"/>
        <v>0</v>
      </c>
      <c r="I81" s="245">
        <f t="shared" si="23"/>
        <v>0</v>
      </c>
      <c r="J81" s="224">
        <f t="shared" si="18"/>
        <v>62.5</v>
      </c>
      <c r="K81" s="224">
        <f t="shared" si="19"/>
        <v>62.5</v>
      </c>
      <c r="L81" s="224">
        <f t="shared" si="20"/>
        <v>0</v>
      </c>
      <c r="M81" s="246">
        <f t="shared" si="21"/>
        <v>0</v>
      </c>
      <c r="N81" s="246">
        <f t="shared" si="22"/>
        <v>0</v>
      </c>
    </row>
    <row r="82" spans="1:14" s="247" customFormat="1">
      <c r="B82" s="269" t="str">
        <f>B29</f>
        <v>Hips girth</v>
      </c>
      <c r="C82" s="269"/>
      <c r="D82" s="269"/>
      <c r="E82" s="269"/>
      <c r="F82" s="269"/>
      <c r="G82" s="245">
        <f t="shared" si="23"/>
        <v>93.5</v>
      </c>
      <c r="H82" s="245">
        <f t="shared" si="23"/>
        <v>0</v>
      </c>
      <c r="I82" s="245">
        <f t="shared" si="23"/>
        <v>0</v>
      </c>
      <c r="J82" s="224">
        <f t="shared" si="18"/>
        <v>93.5</v>
      </c>
      <c r="K82" s="224">
        <f t="shared" si="19"/>
        <v>93.5</v>
      </c>
      <c r="L82" s="224">
        <f t="shared" si="20"/>
        <v>0</v>
      </c>
      <c r="M82" s="246">
        <f t="shared" si="21"/>
        <v>0</v>
      </c>
      <c r="N82" s="246">
        <f t="shared" si="22"/>
        <v>0</v>
      </c>
    </row>
    <row r="83" spans="1:14">
      <c r="A83" s="247"/>
      <c r="B83" s="269" t="str">
        <f>B30</f>
        <v>Thigh middle girth</v>
      </c>
      <c r="C83" s="269"/>
      <c r="D83" s="269"/>
      <c r="E83" s="269"/>
      <c r="F83" s="269"/>
      <c r="G83" s="245">
        <f t="shared" si="23"/>
        <v>51</v>
      </c>
      <c r="H83" s="245">
        <f t="shared" si="23"/>
        <v>0</v>
      </c>
      <c r="I83" s="245">
        <f t="shared" si="23"/>
        <v>0</v>
      </c>
      <c r="J83" s="224">
        <f t="shared" si="18"/>
        <v>51</v>
      </c>
      <c r="K83" s="224">
        <f t="shared" si="19"/>
        <v>51</v>
      </c>
      <c r="L83" s="224">
        <f t="shared" si="20"/>
        <v>0</v>
      </c>
      <c r="M83" s="246">
        <f t="shared" si="21"/>
        <v>0</v>
      </c>
      <c r="N83" s="246">
        <f t="shared" si="22"/>
        <v>0</v>
      </c>
    </row>
    <row r="84" spans="1:14">
      <c r="B84" s="269" t="str">
        <f>B32</f>
        <v>Calf girth</v>
      </c>
      <c r="C84" s="269"/>
      <c r="D84" s="269"/>
      <c r="E84" s="269"/>
      <c r="F84" s="269"/>
      <c r="G84" s="245">
        <f>+G32</f>
        <v>31.5</v>
      </c>
      <c r="H84" s="245">
        <f>+H32</f>
        <v>0</v>
      </c>
      <c r="I84" s="245">
        <f>+I32</f>
        <v>0</v>
      </c>
      <c r="J84" s="224">
        <f t="shared" si="18"/>
        <v>31.5</v>
      </c>
      <c r="K84" s="224">
        <f t="shared" si="19"/>
        <v>31.5</v>
      </c>
      <c r="L84" s="224">
        <f t="shared" si="20"/>
        <v>0</v>
      </c>
      <c r="M84" s="246">
        <f t="shared" si="21"/>
        <v>0</v>
      </c>
      <c r="N84" s="246">
        <f t="shared" si="22"/>
        <v>0</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kShAtzMIW7R86eHtWLkshU8GObxRZ2UhYXQAzSwSmNMSc2BIvkX9xx5EDYJToYAZLHMJ4WoziUnudRfdmzVy5w==" saltValue="h1SCbcLjhUWorRWToKuXUg=="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A91"/>
  <sheetViews>
    <sheetView zoomScaleNormal="75" zoomScaleSheetLayoutView="75" workbookViewId="0">
      <selection activeCell="I35" sqref="I35"/>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68</v>
      </c>
      <c r="H4" s="71"/>
      <c r="I4" s="72"/>
      <c r="J4" s="118"/>
      <c r="K4" s="118"/>
      <c r="L4" s="111"/>
      <c r="M4" s="111"/>
      <c r="N4" s="111"/>
      <c r="O4" s="104"/>
      <c r="P4" s="104"/>
      <c r="Q4" s="113"/>
      <c r="R4" s="105" t="str">
        <f t="shared" ref="R4:R11" si="0">+B4</f>
        <v>Name</v>
      </c>
      <c r="S4" s="119"/>
      <c r="T4" s="119"/>
      <c r="U4" s="120" t="str">
        <f t="shared" ref="U4:U11" si="1">+G4</f>
        <v>Franjo</v>
      </c>
      <c r="V4" s="107"/>
      <c r="W4" s="107"/>
      <c r="X4" s="121"/>
      <c r="Y4" s="107"/>
      <c r="Z4" s="108"/>
      <c r="AA4" s="115"/>
    </row>
    <row r="5" spans="1:27" s="109" customFormat="1">
      <c r="B5" s="116" t="str">
        <f>IF(Info!D34,"Surname","Apellidos")</f>
        <v>Surname</v>
      </c>
      <c r="C5" s="116"/>
      <c r="D5" s="116"/>
      <c r="E5" s="110"/>
      <c r="F5" s="112"/>
      <c r="G5" s="81"/>
      <c r="H5" s="73"/>
      <c r="I5" s="74"/>
      <c r="J5" s="122"/>
      <c r="K5" s="122"/>
      <c r="L5" s="122"/>
      <c r="M5" s="122"/>
      <c r="N5" s="123"/>
      <c r="O5" s="104"/>
      <c r="P5" s="104"/>
      <c r="Q5" s="113"/>
      <c r="R5" s="113" t="str">
        <f t="shared" si="0"/>
        <v>Surname</v>
      </c>
      <c r="S5" s="124"/>
      <c r="T5" s="124"/>
      <c r="U5" s="125">
        <f t="shared" si="1"/>
        <v>0</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t="s">
        <v>63</v>
      </c>
      <c r="H9" s="75"/>
      <c r="I9" s="76"/>
      <c r="J9" s="111"/>
      <c r="K9" s="111"/>
      <c r="L9" s="111"/>
      <c r="M9" s="111"/>
      <c r="N9" s="111"/>
      <c r="O9" s="104"/>
      <c r="P9" s="104"/>
      <c r="Q9" s="113"/>
      <c r="R9" s="113" t="str">
        <f t="shared" si="0"/>
        <v>Sport</v>
      </c>
      <c r="S9" s="124"/>
      <c r="T9" s="124"/>
      <c r="U9" s="125" t="str">
        <f t="shared" si="1"/>
        <v>Gym</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44449</v>
      </c>
      <c r="H10" s="76"/>
      <c r="I10" s="76"/>
      <c r="J10" s="111"/>
      <c r="K10" s="111"/>
      <c r="L10" s="111"/>
      <c r="M10" s="111"/>
      <c r="N10" s="122"/>
      <c r="O10" s="104"/>
      <c r="P10" s="104"/>
      <c r="Q10" s="113"/>
      <c r="R10" s="113" t="str">
        <f t="shared" si="0"/>
        <v>Date of Measurement</v>
      </c>
      <c r="S10" s="124"/>
      <c r="T10" s="124"/>
      <c r="U10" s="131">
        <f t="shared" si="1"/>
        <v>44449</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35544</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35544</v>
      </c>
      <c r="V11" s="138"/>
      <c r="W11" s="138"/>
      <c r="X11" s="139"/>
      <c r="Y11" s="140"/>
      <c r="Z11" s="141"/>
      <c r="AA11" s="115"/>
    </row>
    <row r="12" spans="1:27" ht="14.4" thickTop="1" thickBot="1">
      <c r="A12" s="109"/>
      <c r="B12" s="116" t="str">
        <f>IF(Info!D34,"Measure","Medida")</f>
        <v>Measure</v>
      </c>
      <c r="C12" s="116"/>
      <c r="D12" s="116"/>
      <c r="E12" s="122"/>
      <c r="F12" s="112"/>
      <c r="G12" s="78"/>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83.5</v>
      </c>
      <c r="H13" s="84"/>
      <c r="I13" s="84"/>
      <c r="J13" s="150"/>
      <c r="K13" s="151">
        <f>+(H13-G13)/(AVERAGE(G13:H13))</f>
        <v>-1</v>
      </c>
      <c r="L13" s="152" t="str">
        <f>IF(ABS(K13)&gt;1%,"Yes","No")</f>
        <v>Yes</v>
      </c>
      <c r="M13" s="150"/>
      <c r="N13" s="153">
        <f t="shared" ref="N13:N25" si="2">IF(I13=0,AVERAGE(G13,H13),MEDIAN(G13,H13,I13))</f>
        <v>83.5</v>
      </c>
      <c r="O13" s="154"/>
      <c r="P13" s="154"/>
      <c r="Q13" s="155"/>
      <c r="R13" s="156" t="str">
        <f t="shared" ref="R13:R36" si="3">+B13</f>
        <v>Mass</v>
      </c>
      <c r="S13" s="157"/>
      <c r="T13" s="157"/>
      <c r="U13" s="158">
        <f t="shared" ref="U13:U25" si="4">+N13</f>
        <v>83.5</v>
      </c>
      <c r="V13" s="159" t="s">
        <v>25</v>
      </c>
      <c r="W13" s="160">
        <f>1/8.6*(+U13*((170.18/U$14)^3)-64.58)</f>
        <v>1.2682934873813341</v>
      </c>
      <c r="X13" s="121"/>
      <c r="Y13" s="107"/>
      <c r="Z13" s="108"/>
      <c r="AA13" s="115"/>
    </row>
    <row r="14" spans="1:27" s="109" customFormat="1">
      <c r="B14" s="161" t="str">
        <f>IF(Info!D34,"Stature","Talla")</f>
        <v>Stature</v>
      </c>
      <c r="C14" s="116"/>
      <c r="D14" s="116"/>
      <c r="E14" s="122"/>
      <c r="F14" s="110"/>
      <c r="G14" s="85">
        <v>176</v>
      </c>
      <c r="H14" s="85"/>
      <c r="I14" s="85"/>
      <c r="J14" s="134"/>
      <c r="K14" s="162">
        <f t="shared" ref="K14:K34" si="5">+(H14-G14)/(AVERAGE(G14:H14))</f>
        <v>-1</v>
      </c>
      <c r="L14" s="163" t="str">
        <f>IF(ABS(K14)&gt;1%,"Yes","No")</f>
        <v>Yes</v>
      </c>
      <c r="M14" s="134"/>
      <c r="N14" s="164">
        <f t="shared" si="2"/>
        <v>176</v>
      </c>
      <c r="O14" s="154"/>
      <c r="P14" s="154"/>
      <c r="Q14" s="155"/>
      <c r="R14" s="155" t="str">
        <f t="shared" si="3"/>
        <v>Stature</v>
      </c>
      <c r="S14" s="165"/>
      <c r="T14" s="165"/>
      <c r="U14" s="166">
        <f t="shared" si="4"/>
        <v>176</v>
      </c>
      <c r="V14" s="167" t="s">
        <v>26</v>
      </c>
      <c r="W14" s="132"/>
      <c r="X14" s="132"/>
      <c r="Y14" s="133"/>
      <c r="Z14" s="115"/>
      <c r="AA14" s="115"/>
    </row>
    <row r="15" spans="1:27" s="109" customFormat="1">
      <c r="B15" s="161" t="str">
        <f>IF(Info!D34,"Sitting height","Talla sentado")</f>
        <v>Sitting height</v>
      </c>
      <c r="C15" s="116"/>
      <c r="D15" s="116"/>
      <c r="E15" s="122"/>
      <c r="F15" s="110"/>
      <c r="G15" s="87">
        <v>89</v>
      </c>
      <c r="H15" s="87"/>
      <c r="I15" s="87"/>
      <c r="J15" s="134"/>
      <c r="K15" s="162">
        <f t="shared" si="5"/>
        <v>-1</v>
      </c>
      <c r="L15" s="163" t="str">
        <f>IF(ABS(K15)&gt;1%,"Yes","No")</f>
        <v>Yes</v>
      </c>
      <c r="M15" s="134"/>
      <c r="N15" s="164">
        <f t="shared" si="2"/>
        <v>89</v>
      </c>
      <c r="O15" s="154"/>
      <c r="P15" s="154"/>
      <c r="Q15" s="155"/>
      <c r="R15" s="155" t="str">
        <f t="shared" si="3"/>
        <v>Sitting height</v>
      </c>
      <c r="S15" s="165"/>
      <c r="T15" s="165"/>
      <c r="U15" s="166">
        <f t="shared" si="4"/>
        <v>89</v>
      </c>
      <c r="V15" s="167" t="s">
        <v>26</v>
      </c>
      <c r="W15" s="32">
        <f>1/4.5*(+U15*((170.18/U$14)^1)-89.92)</f>
        <v>-0.8584595959595952</v>
      </c>
      <c r="X15" s="132"/>
      <c r="Y15" s="133"/>
      <c r="Z15" s="115"/>
      <c r="AA15" s="115"/>
    </row>
    <row r="16" spans="1:27" s="109" customFormat="1" ht="13.8" thickBot="1">
      <c r="B16" s="161" t="str">
        <f>IF(Info!D34,"Arm Span","Envergadura de brazos")</f>
        <v>Arm Span</v>
      </c>
      <c r="C16" s="116"/>
      <c r="D16" s="116"/>
      <c r="E16" s="122"/>
      <c r="F16" s="110"/>
      <c r="G16" s="87">
        <v>177</v>
      </c>
      <c r="H16" s="87"/>
      <c r="I16" s="87"/>
      <c r="J16" s="134"/>
      <c r="K16" s="162">
        <f t="shared" si="5"/>
        <v>-1</v>
      </c>
      <c r="L16" s="163" t="str">
        <f>IF(ABS(K16)&gt;1%,"Yes","No")</f>
        <v>Yes</v>
      </c>
      <c r="M16" s="134"/>
      <c r="N16" s="164">
        <f t="shared" si="2"/>
        <v>177</v>
      </c>
      <c r="O16" s="154"/>
      <c r="P16" s="154"/>
      <c r="Q16" s="155"/>
      <c r="R16" s="168" t="str">
        <f t="shared" si="3"/>
        <v>Arm Span</v>
      </c>
      <c r="S16" s="169"/>
      <c r="T16" s="169"/>
      <c r="U16" s="170">
        <f t="shared" si="4"/>
        <v>177</v>
      </c>
      <c r="V16" s="171" t="s">
        <v>26</v>
      </c>
      <c r="W16" s="33">
        <f>1/7.41*(+U16*((170.18/U$14)^1)-172.35)</f>
        <v>-0.1623573794626407</v>
      </c>
      <c r="X16" s="172"/>
      <c r="Y16" s="173"/>
      <c r="Z16" s="174"/>
      <c r="AA16" s="115"/>
    </row>
    <row r="17" spans="1:27" ht="18" customHeight="1" thickTop="1">
      <c r="A17" s="109"/>
      <c r="B17" s="146" t="str">
        <f>IF(Info!D34,"Triceps sf","PL Tríceps")</f>
        <v>Triceps sf</v>
      </c>
      <c r="C17" s="147"/>
      <c r="D17" s="147"/>
      <c r="E17" s="148"/>
      <c r="F17" s="149"/>
      <c r="G17" s="84">
        <v>12</v>
      </c>
      <c r="H17" s="84"/>
      <c r="I17" s="84"/>
      <c r="J17" s="150"/>
      <c r="K17" s="151">
        <f t="shared" si="5"/>
        <v>-1</v>
      </c>
      <c r="L17" s="152" t="str">
        <f t="shared" ref="L17:L24" si="6">IF(ABS(K17)&gt;5%,"Yes","No")</f>
        <v>Yes</v>
      </c>
      <c r="M17" s="150"/>
      <c r="N17" s="153">
        <f t="shared" si="2"/>
        <v>12</v>
      </c>
      <c r="O17" s="154"/>
      <c r="P17" s="154"/>
      <c r="Q17" s="155"/>
      <c r="R17" s="156" t="str">
        <f t="shared" si="3"/>
        <v>Triceps sf</v>
      </c>
      <c r="S17" s="157"/>
      <c r="T17" s="157"/>
      <c r="U17" s="175">
        <f t="shared" si="4"/>
        <v>12</v>
      </c>
      <c r="V17" s="176" t="s">
        <v>27</v>
      </c>
      <c r="W17" s="177">
        <f>1/4.47*(+U17*((170.18/U$14)^1)-15.4)</f>
        <v>-0.84940004067520858</v>
      </c>
      <c r="X17" s="178"/>
      <c r="Y17" s="176"/>
      <c r="Z17" s="179"/>
      <c r="AA17" s="145"/>
    </row>
    <row r="18" spans="1:27" ht="18" customHeight="1">
      <c r="B18" s="161" t="str">
        <f>IF(Info!D34,"Subscapular sf","PL Subescapular")</f>
        <v>Subscapular sf</v>
      </c>
      <c r="C18" s="116"/>
      <c r="D18" s="116"/>
      <c r="E18" s="122"/>
      <c r="F18" s="110"/>
      <c r="G18" s="85">
        <v>11</v>
      </c>
      <c r="H18" s="85"/>
      <c r="I18" s="85"/>
      <c r="J18" s="134"/>
      <c r="K18" s="162">
        <f t="shared" si="5"/>
        <v>-1</v>
      </c>
      <c r="L18" s="163" t="str">
        <f t="shared" si="6"/>
        <v>Yes</v>
      </c>
      <c r="M18" s="134"/>
      <c r="N18" s="164">
        <f t="shared" si="2"/>
        <v>11</v>
      </c>
      <c r="O18" s="154"/>
      <c r="P18" s="154"/>
      <c r="Q18" s="155"/>
      <c r="R18" s="155" t="str">
        <f t="shared" si="3"/>
        <v>Subscapular sf</v>
      </c>
      <c r="S18" s="165"/>
      <c r="T18" s="165"/>
      <c r="U18" s="180">
        <f t="shared" si="4"/>
        <v>11</v>
      </c>
      <c r="V18" s="143" t="s">
        <v>27</v>
      </c>
      <c r="W18" s="32">
        <f>1/5.07*(+U18*((170.18/U$14)^1)-17.2)</f>
        <v>-1.2946252465483232</v>
      </c>
      <c r="X18" s="181"/>
      <c r="Y18" s="143"/>
      <c r="Z18" s="145"/>
      <c r="AA18" s="145"/>
    </row>
    <row r="19" spans="1:27" ht="18" customHeight="1">
      <c r="B19" s="161" t="str">
        <f>IF(Info!D34,"Biceps sf","PL Bíceps")</f>
        <v>Biceps sf</v>
      </c>
      <c r="C19" s="116"/>
      <c r="D19" s="116"/>
      <c r="E19" s="122"/>
      <c r="F19" s="110"/>
      <c r="G19" s="85">
        <v>2.5</v>
      </c>
      <c r="H19" s="85"/>
      <c r="I19" s="85"/>
      <c r="J19" s="134"/>
      <c r="K19" s="182">
        <f t="shared" si="5"/>
        <v>-1</v>
      </c>
      <c r="L19" s="163" t="str">
        <f t="shared" si="6"/>
        <v>Yes</v>
      </c>
      <c r="M19" s="134"/>
      <c r="N19" s="164">
        <f t="shared" si="2"/>
        <v>2.5</v>
      </c>
      <c r="O19" s="154"/>
      <c r="P19" s="154"/>
      <c r="Q19" s="155"/>
      <c r="R19" s="155" t="str">
        <f t="shared" si="3"/>
        <v>Biceps sf</v>
      </c>
      <c r="S19" s="165"/>
      <c r="T19" s="165"/>
      <c r="U19" s="180">
        <f t="shared" si="4"/>
        <v>2.5</v>
      </c>
      <c r="V19" s="143" t="s">
        <v>27</v>
      </c>
      <c r="W19" s="32">
        <f>1/2*(+U19*((170.18/U$14)^1)-8)</f>
        <v>-2.791335227272727</v>
      </c>
      <c r="X19" s="181"/>
      <c r="Y19" s="143"/>
      <c r="Z19" s="145"/>
      <c r="AA19" s="145"/>
    </row>
    <row r="20" spans="1:27" ht="18" customHeight="1">
      <c r="B20" s="161" t="str">
        <f>IF(Info!D34,"Iliac crest sf","PL Cresta Iliaca")</f>
        <v>Iliac crest sf</v>
      </c>
      <c r="C20" s="116"/>
      <c r="D20" s="116"/>
      <c r="E20" s="122"/>
      <c r="F20" s="110"/>
      <c r="G20" s="85">
        <v>14</v>
      </c>
      <c r="H20" s="85"/>
      <c r="I20" s="85"/>
      <c r="J20" s="134"/>
      <c r="K20" s="182">
        <f t="shared" si="5"/>
        <v>-1</v>
      </c>
      <c r="L20" s="163" t="str">
        <f t="shared" si="6"/>
        <v>Yes</v>
      </c>
      <c r="M20" s="134"/>
      <c r="N20" s="164">
        <f t="shared" si="2"/>
        <v>14</v>
      </c>
      <c r="O20" s="154"/>
      <c r="P20" s="154"/>
      <c r="Q20" s="155"/>
      <c r="R20" s="155" t="str">
        <f t="shared" si="3"/>
        <v>Iliac crest sf</v>
      </c>
      <c r="S20" s="165"/>
      <c r="T20" s="165"/>
      <c r="U20" s="180">
        <f t="shared" si="4"/>
        <v>14</v>
      </c>
      <c r="V20" s="143" t="s">
        <v>28</v>
      </c>
      <c r="W20" s="32">
        <f>1/6.8*(+U20*((170.18/U$14)^1)-22.4)</f>
        <v>-1.3033756684491977</v>
      </c>
      <c r="X20" s="181"/>
      <c r="Y20" s="143"/>
      <c r="Z20" s="145"/>
      <c r="AA20" s="145"/>
    </row>
    <row r="21" spans="1:27" ht="18" customHeight="1">
      <c r="B21" s="161" t="str">
        <f>IF(Info!D34,"Supraspinale sf","PL Supraespinal")</f>
        <v>Supraspinale sf</v>
      </c>
      <c r="C21" s="116"/>
      <c r="D21" s="116"/>
      <c r="E21" s="122"/>
      <c r="F21" s="110"/>
      <c r="G21" s="85">
        <v>6.5</v>
      </c>
      <c r="H21" s="85"/>
      <c r="I21" s="85"/>
      <c r="J21" s="134"/>
      <c r="K21" s="162">
        <f t="shared" si="5"/>
        <v>-1</v>
      </c>
      <c r="L21" s="163" t="str">
        <f t="shared" si="6"/>
        <v>Yes</v>
      </c>
      <c r="M21" s="134"/>
      <c r="N21" s="164">
        <f t="shared" si="2"/>
        <v>6.5</v>
      </c>
      <c r="O21" s="154"/>
      <c r="P21" s="154"/>
      <c r="Q21" s="155"/>
      <c r="R21" s="155" t="str">
        <f t="shared" si="3"/>
        <v>Supraspinale sf</v>
      </c>
      <c r="S21" s="165"/>
      <c r="T21" s="165"/>
      <c r="U21" s="180">
        <f t="shared" si="4"/>
        <v>6.5</v>
      </c>
      <c r="V21" s="143" t="s">
        <v>27</v>
      </c>
      <c r="W21" s="32">
        <f>1/4.47*(+U21*((170.18/U$14)^1)-15.4)</f>
        <v>-2.0391371771405331</v>
      </c>
      <c r="X21" s="181"/>
      <c r="Y21" s="143"/>
      <c r="Z21" s="145"/>
      <c r="AA21" s="145"/>
    </row>
    <row r="22" spans="1:27" ht="18" customHeight="1">
      <c r="B22" s="161" t="str">
        <f>IF(Info!D34,"Abdominal sf","PL Abdominal")</f>
        <v>Abdominal sf</v>
      </c>
      <c r="C22" s="116"/>
      <c r="D22" s="116"/>
      <c r="E22" s="122"/>
      <c r="F22" s="110"/>
      <c r="G22" s="85">
        <v>8.5</v>
      </c>
      <c r="H22" s="85"/>
      <c r="I22" s="85"/>
      <c r="J22" s="134"/>
      <c r="K22" s="162">
        <f t="shared" si="5"/>
        <v>-1</v>
      </c>
      <c r="L22" s="163" t="str">
        <f t="shared" si="6"/>
        <v>Yes</v>
      </c>
      <c r="M22" s="134"/>
      <c r="N22" s="164">
        <f t="shared" si="2"/>
        <v>8.5</v>
      </c>
      <c r="O22" s="154"/>
      <c r="P22" s="154"/>
      <c r="Q22" s="155"/>
      <c r="R22" s="155" t="str">
        <f t="shared" si="3"/>
        <v>Abdominal sf</v>
      </c>
      <c r="S22" s="165"/>
      <c r="T22" s="165"/>
      <c r="U22" s="180">
        <f t="shared" si="4"/>
        <v>8.5</v>
      </c>
      <c r="V22" s="143" t="s">
        <v>27</v>
      </c>
      <c r="W22" s="32">
        <f>1/7.78*(+U22*((170.18/U$14)^1)-25.4)</f>
        <v>-2.2083649801355456</v>
      </c>
      <c r="X22" s="181"/>
      <c r="Y22" s="143"/>
      <c r="Z22" s="145"/>
      <c r="AA22" s="145"/>
    </row>
    <row r="23" spans="1:27" ht="18" customHeight="1">
      <c r="B23" s="161" t="str">
        <f>IF(Info!D34,"Thigh sf","PL Muslo")</f>
        <v>Thigh sf</v>
      </c>
      <c r="C23" s="116"/>
      <c r="D23" s="116"/>
      <c r="E23" s="122"/>
      <c r="F23" s="110"/>
      <c r="G23" s="85">
        <v>22</v>
      </c>
      <c r="H23" s="85"/>
      <c r="I23" s="85"/>
      <c r="J23" s="134"/>
      <c r="K23" s="182">
        <f t="shared" si="5"/>
        <v>-1</v>
      </c>
      <c r="L23" s="163" t="str">
        <f t="shared" si="6"/>
        <v>Yes</v>
      </c>
      <c r="M23" s="134"/>
      <c r="N23" s="164">
        <f t="shared" si="2"/>
        <v>22</v>
      </c>
      <c r="O23" s="154"/>
      <c r="P23" s="154"/>
      <c r="Q23" s="155"/>
      <c r="R23" s="155" t="str">
        <f t="shared" si="3"/>
        <v>Thigh sf</v>
      </c>
      <c r="S23" s="165"/>
      <c r="T23" s="165"/>
      <c r="U23" s="180">
        <f t="shared" si="4"/>
        <v>22</v>
      </c>
      <c r="V23" s="143" t="s">
        <v>27</v>
      </c>
      <c r="W23" s="32">
        <f>1/8.33*(+U23*((170.18/U$14)^1)-27)</f>
        <v>-0.68757503001200471</v>
      </c>
      <c r="X23" s="181"/>
      <c r="Y23" s="143"/>
      <c r="Z23" s="145"/>
      <c r="AA23" s="145"/>
    </row>
    <row r="24" spans="1:27" ht="18" customHeight="1" thickBot="1">
      <c r="B24" s="183" t="str">
        <f>IF(Info!D34,"Calf sf","PL Pierna")</f>
        <v>Calf sf</v>
      </c>
      <c r="C24" s="184"/>
      <c r="D24" s="184"/>
      <c r="E24" s="185"/>
      <c r="F24" s="186"/>
      <c r="G24" s="86">
        <v>12</v>
      </c>
      <c r="H24" s="86"/>
      <c r="I24" s="86"/>
      <c r="J24" s="187"/>
      <c r="K24" s="182">
        <f t="shared" si="5"/>
        <v>-1</v>
      </c>
      <c r="L24" s="188" t="str">
        <f t="shared" si="6"/>
        <v>Yes</v>
      </c>
      <c r="M24" s="187"/>
      <c r="N24" s="189">
        <f t="shared" si="2"/>
        <v>12</v>
      </c>
      <c r="O24" s="154"/>
      <c r="P24" s="154"/>
      <c r="Q24" s="155"/>
      <c r="R24" s="168" t="str">
        <f t="shared" si="3"/>
        <v>Calf sf</v>
      </c>
      <c r="S24" s="169"/>
      <c r="T24" s="169"/>
      <c r="U24" s="170">
        <f t="shared" si="4"/>
        <v>12</v>
      </c>
      <c r="V24" s="173" t="s">
        <v>27</v>
      </c>
      <c r="W24" s="33">
        <f>1/4.67*(+U24*((170.18/U$14)^1)-16)</f>
        <v>-0.94150282265913954</v>
      </c>
      <c r="X24" s="172"/>
      <c r="Y24" s="173"/>
      <c r="Z24" s="174"/>
      <c r="AA24" s="145"/>
    </row>
    <row r="25" spans="1:27" ht="18" customHeight="1">
      <c r="B25" s="161" t="str">
        <f>IF(Info!D34,"Arm girth relaxed","PR Brazo relajado")</f>
        <v>Arm girth relaxed</v>
      </c>
      <c r="C25" s="116"/>
      <c r="D25" s="116"/>
      <c r="E25" s="122"/>
      <c r="F25" s="110"/>
      <c r="G25" s="85">
        <v>39.4</v>
      </c>
      <c r="H25" s="85"/>
      <c r="I25" s="85"/>
      <c r="J25" s="134"/>
      <c r="K25" s="151">
        <f t="shared" si="5"/>
        <v>-1</v>
      </c>
      <c r="L25" s="163" t="str">
        <f>IF(ABS(K25)&gt;1%,"Yes","No")</f>
        <v>Yes</v>
      </c>
      <c r="M25" s="134"/>
      <c r="N25" s="164">
        <f t="shared" si="2"/>
        <v>39.4</v>
      </c>
      <c r="O25" s="154"/>
      <c r="P25" s="154"/>
      <c r="Q25" s="155"/>
      <c r="R25" s="155" t="str">
        <f t="shared" si="3"/>
        <v>Arm girth relaxed</v>
      </c>
      <c r="S25" s="165"/>
      <c r="T25" s="165"/>
      <c r="U25" s="180">
        <f t="shared" si="4"/>
        <v>39.4</v>
      </c>
      <c r="V25" s="143" t="s">
        <v>26</v>
      </c>
      <c r="W25" s="32">
        <f>1/2.33*(+U25*((170.18/U$14)^1)-26.89)</f>
        <v>4.8099200156067115</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35.630088815692247</v>
      </c>
      <c r="V26" s="143" t="s">
        <v>26</v>
      </c>
      <c r="W26" s="32">
        <f>1/1.91*(+U26*((170.18/U$14)^1)-22.05)</f>
        <v>6.4931238536842777</v>
      </c>
      <c r="X26" s="181"/>
      <c r="Y26" s="143"/>
      <c r="Z26" s="145"/>
      <c r="AA26" s="145"/>
    </row>
    <row r="27" spans="1:27" ht="18" customHeight="1">
      <c r="B27" s="199" t="str">
        <f>IF(Info!D34,"Arm girth flexed and tensed","PR Brazo flexionado y contraído")</f>
        <v>Arm girth flexed and tensed</v>
      </c>
      <c r="C27" s="116"/>
      <c r="D27" s="116"/>
      <c r="E27" s="122"/>
      <c r="F27" s="110"/>
      <c r="G27" s="85">
        <v>42.1</v>
      </c>
      <c r="H27" s="85"/>
      <c r="I27" s="85"/>
      <c r="J27" s="134"/>
      <c r="K27" s="182">
        <f t="shared" si="5"/>
        <v>-1</v>
      </c>
      <c r="L27" s="163" t="str">
        <f>IF(ABS(K27)&gt;1%,"Yes","No")</f>
        <v>Yes</v>
      </c>
      <c r="M27" s="134"/>
      <c r="N27" s="164">
        <f>IF(I27=0,AVERAGE(G27,H27),MEDIAN(G27,H27,I27))</f>
        <v>42.1</v>
      </c>
      <c r="O27" s="154"/>
      <c r="P27" s="154"/>
      <c r="Q27" s="155"/>
      <c r="R27" s="155" t="str">
        <f t="shared" si="3"/>
        <v>Arm girth flexed and tensed</v>
      </c>
      <c r="S27" s="165"/>
      <c r="T27" s="165"/>
      <c r="U27" s="180">
        <f>+N27</f>
        <v>42.1</v>
      </c>
      <c r="V27" s="143" t="s">
        <v>26</v>
      </c>
      <c r="W27" s="32">
        <f>1/2.37*(+U27*((170.18/U$14)^1)-29.41)</f>
        <v>4.7670166858457987</v>
      </c>
      <c r="X27" s="181"/>
      <c r="Y27" s="143"/>
      <c r="Z27" s="145"/>
      <c r="AA27" s="145"/>
    </row>
    <row r="28" spans="1:27" ht="18" customHeight="1">
      <c r="B28" s="200" t="str">
        <f>IF(Info!D34,"Waist girth","PR Cintura")</f>
        <v>Waist girth</v>
      </c>
      <c r="C28" s="116"/>
      <c r="D28" s="116"/>
      <c r="E28" s="122"/>
      <c r="F28" s="110"/>
      <c r="G28" s="85">
        <v>81.2</v>
      </c>
      <c r="H28" s="85"/>
      <c r="I28" s="85"/>
      <c r="J28" s="134"/>
      <c r="K28" s="182">
        <f t="shared" si="5"/>
        <v>-1</v>
      </c>
      <c r="L28" s="163" t="str">
        <f>IF(ABS(K28)&gt;1%,"Yes","No")</f>
        <v>Yes</v>
      </c>
      <c r="M28" s="134"/>
      <c r="N28" s="164">
        <f>IF(I28=0,AVERAGE(G28,H28),MEDIAN(G28,H28,I28))</f>
        <v>81.2</v>
      </c>
      <c r="O28" s="154"/>
      <c r="P28" s="154"/>
      <c r="Q28" s="155"/>
      <c r="R28" s="155" t="str">
        <f t="shared" si="3"/>
        <v>Waist girth</v>
      </c>
      <c r="S28" s="165"/>
      <c r="T28" s="165"/>
      <c r="U28" s="180">
        <f>+N28</f>
        <v>81.2</v>
      </c>
      <c r="V28" s="143" t="s">
        <v>26</v>
      </c>
      <c r="W28" s="32">
        <f>1/4.45*(+U28*((170.18/U$14)^1)-71.91)</f>
        <v>1.484239019407561</v>
      </c>
      <c r="X28" s="181"/>
      <c r="Y28" s="143"/>
      <c r="Z28" s="145"/>
      <c r="AA28" s="145"/>
    </row>
    <row r="29" spans="1:27" ht="18" customHeight="1">
      <c r="B29" s="200" t="str">
        <f>IF(Info!D34,"Hips girth","PR Caderas")</f>
        <v>Hips girth</v>
      </c>
      <c r="C29" s="116"/>
      <c r="D29" s="116"/>
      <c r="E29" s="122"/>
      <c r="F29" s="110"/>
      <c r="G29" s="85">
        <v>100.4</v>
      </c>
      <c r="H29" s="85"/>
      <c r="I29" s="85"/>
      <c r="J29" s="134"/>
      <c r="K29" s="182">
        <f t="shared" si="5"/>
        <v>-1</v>
      </c>
      <c r="L29" s="163" t="str">
        <f>IF(ABS(K29)&gt;1%,"Yes","No")</f>
        <v>Yes</v>
      </c>
      <c r="M29" s="134"/>
      <c r="N29" s="164">
        <f>IF(I29=0,AVERAGE(G29,H29),MEDIAN(G29,H29,I29))</f>
        <v>100.4</v>
      </c>
      <c r="O29" s="154"/>
      <c r="P29" s="154"/>
      <c r="Q29" s="155"/>
      <c r="R29" s="155" t="str">
        <f t="shared" si="3"/>
        <v>Hips girth</v>
      </c>
      <c r="S29" s="165"/>
      <c r="T29" s="165"/>
      <c r="U29" s="180">
        <f>+N29</f>
        <v>100.4</v>
      </c>
      <c r="V29" s="143" t="s">
        <v>26</v>
      </c>
      <c r="W29" s="32">
        <f>1/5.58*(+U29*((170.18/U$14)^1)-94.67)</f>
        <v>0.43189149560117446</v>
      </c>
      <c r="X29" s="181"/>
      <c r="Y29" s="143"/>
      <c r="Z29" s="145"/>
      <c r="AA29" s="145"/>
    </row>
    <row r="30" spans="1:27" ht="18" customHeight="1">
      <c r="B30" s="200" t="str">
        <f>IF(Info!D34,"Thigh middle girth","PR Muslo medio")</f>
        <v>Thigh middle girth</v>
      </c>
      <c r="C30" s="116"/>
      <c r="D30" s="116"/>
      <c r="E30" s="122"/>
      <c r="F30" s="110"/>
      <c r="G30" s="85">
        <v>57.7</v>
      </c>
      <c r="H30" s="85"/>
      <c r="I30" s="85"/>
      <c r="J30" s="134"/>
      <c r="K30" s="182">
        <f>+(H30-G30)/(AVERAGE(G30:H30))</f>
        <v>-1</v>
      </c>
      <c r="L30" s="163" t="str">
        <f>IF(ABS(K30)&gt;1%,"Yes","No")</f>
        <v>Yes</v>
      </c>
      <c r="M30" s="134"/>
      <c r="N30" s="164">
        <f>IF(I30=0,AVERAGE(G30,H30),MEDIAN(G30,H30,I30))</f>
        <v>57.7</v>
      </c>
      <c r="O30" s="154"/>
      <c r="P30" s="154"/>
      <c r="Q30" s="155"/>
      <c r="R30" s="155" t="str">
        <f t="shared" si="3"/>
        <v>Thigh middle girth</v>
      </c>
      <c r="S30" s="165"/>
      <c r="T30" s="165"/>
      <c r="U30" s="180">
        <f>+N30</f>
        <v>57.7</v>
      </c>
      <c r="V30" s="143" t="s">
        <v>26</v>
      </c>
      <c r="W30" s="32">
        <f>1/4.56*(+U30*((170.18/U$14)^1)-53.2)</f>
        <v>0.568413576555024</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50.788496162102462</v>
      </c>
      <c r="V31" s="143" t="s">
        <v>26</v>
      </c>
      <c r="W31" s="32">
        <f>1/3.59*(+U31*((170.18/U$14)^1)-47.34)</f>
        <v>0.49276126371644086</v>
      </c>
      <c r="X31" s="181"/>
      <c r="Y31" s="143"/>
      <c r="Z31" s="145"/>
      <c r="AA31" s="145"/>
    </row>
    <row r="32" spans="1:27" ht="18" customHeight="1">
      <c r="B32" s="161" t="str">
        <f>IF(Info!D34,"Calf girth","PR Pierna")</f>
        <v>Calf girth</v>
      </c>
      <c r="C32" s="116"/>
      <c r="D32" s="116"/>
      <c r="E32" s="122"/>
      <c r="F32" s="110"/>
      <c r="G32" s="85">
        <v>39.200000000000003</v>
      </c>
      <c r="H32" s="85"/>
      <c r="I32" s="85"/>
      <c r="J32" s="134"/>
      <c r="K32" s="182">
        <f t="shared" si="5"/>
        <v>-1</v>
      </c>
      <c r="L32" s="163" t="str">
        <f>IF(ABS(K32)&gt;1%,"Yes","No")</f>
        <v>Yes</v>
      </c>
      <c r="M32" s="134"/>
      <c r="N32" s="164">
        <f>IF(I32=0,AVERAGE(G32,H32),MEDIAN(G32,H32,I32))</f>
        <v>39.200000000000003</v>
      </c>
      <c r="O32" s="154"/>
      <c r="P32" s="154"/>
      <c r="Q32" s="155"/>
      <c r="R32" s="155" t="str">
        <f t="shared" si="3"/>
        <v>Calf girth</v>
      </c>
      <c r="S32" s="165"/>
      <c r="T32" s="165"/>
      <c r="U32" s="201">
        <f>+N32</f>
        <v>39.200000000000003</v>
      </c>
      <c r="V32" s="143" t="s">
        <v>26</v>
      </c>
      <c r="W32" s="32">
        <f>1/2.3*(+U32*((170.18/U$14)^1)-35.25)</f>
        <v>1.1537944664031625</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35.430088815692251</v>
      </c>
      <c r="V33" s="173" t="s">
        <v>26</v>
      </c>
      <c r="W33" s="33">
        <f>1/1.97*(+U33*((170.18/U$14)^1)-30.22)</f>
        <v>2.0499899476652828</v>
      </c>
      <c r="X33" s="172"/>
      <c r="Y33" s="173"/>
      <c r="Z33" s="174"/>
      <c r="AA33" s="145"/>
    </row>
    <row r="34" spans="1:27" ht="18" customHeight="1" thickBot="1">
      <c r="B34" s="161" t="str">
        <f>IF(Info!D34,"Humerus breadth","D Húmero")</f>
        <v>Humerus breadth</v>
      </c>
      <c r="C34" s="116"/>
      <c r="D34" s="116"/>
      <c r="E34" s="122"/>
      <c r="F34" s="110"/>
      <c r="G34" s="87">
        <v>7</v>
      </c>
      <c r="H34" s="87"/>
      <c r="I34" s="87"/>
      <c r="J34" s="134"/>
      <c r="K34" s="151">
        <f t="shared" si="5"/>
        <v>-1</v>
      </c>
      <c r="L34" s="209" t="str">
        <f>IF(ABS(K34)&gt;1%,"Yes","No")</f>
        <v>Yes</v>
      </c>
      <c r="M34" s="134"/>
      <c r="N34" s="210">
        <f>IF(I34=0,AVERAGE(G34,H34),MEDIAN(G34,H34,I34))</f>
        <v>7</v>
      </c>
      <c r="O34" s="154"/>
      <c r="P34" s="154"/>
      <c r="Q34" s="155"/>
      <c r="R34" s="155" t="str">
        <f t="shared" si="3"/>
        <v>Humerus breadth</v>
      </c>
      <c r="S34" s="165"/>
      <c r="T34" s="165"/>
      <c r="U34" s="180">
        <f>+N34</f>
        <v>7</v>
      </c>
      <c r="V34" s="143" t="s">
        <v>26</v>
      </c>
      <c r="W34" s="32">
        <f>1/0.35*(+U34*((170.18/U$14)^1)-6.48)</f>
        <v>0.82435064935064828</v>
      </c>
      <c r="X34" s="181"/>
      <c r="Y34" s="143"/>
      <c r="Z34" s="145"/>
      <c r="AA34" s="145"/>
    </row>
    <row r="35" spans="1:27" ht="18" customHeight="1">
      <c r="B35" s="161" t="str">
        <f>IF(Info!D34,"Bi-styloid breadth","D Biestiloideo")</f>
        <v>Bi-styloid breadth</v>
      </c>
      <c r="C35" s="116"/>
      <c r="D35" s="116"/>
      <c r="E35" s="122"/>
      <c r="F35" s="110"/>
      <c r="G35" s="91">
        <v>6.1</v>
      </c>
      <c r="H35" s="91"/>
      <c r="I35" s="91"/>
      <c r="J35" s="134"/>
      <c r="K35" s="151">
        <f>+(H35-G35)/(AVERAGE(G35:H35))</f>
        <v>-1</v>
      </c>
      <c r="L35" s="209" t="str">
        <f>IF(ABS(K35)&gt;1%,"Yes","No")</f>
        <v>Yes</v>
      </c>
      <c r="M35" s="134"/>
      <c r="N35" s="210">
        <f>IF(I35=0,AVERAGE(G35,H35),MEDIAN(G35,H35,I35))</f>
        <v>6.1</v>
      </c>
      <c r="O35" s="154"/>
      <c r="P35" s="154"/>
      <c r="Q35" s="155"/>
      <c r="R35" s="155" t="str">
        <f t="shared" si="3"/>
        <v>Bi-styloid breadth</v>
      </c>
      <c r="S35" s="165"/>
      <c r="T35" s="165"/>
      <c r="U35" s="180">
        <f>+N35</f>
        <v>6.1</v>
      </c>
      <c r="V35" s="143" t="s">
        <v>26</v>
      </c>
      <c r="W35" s="32">
        <f>1/0.28*(+U35*((170.18/U$14)^1)-5.21)</f>
        <v>2.4581574675324656</v>
      </c>
      <c r="X35" s="181"/>
      <c r="Y35" s="143"/>
      <c r="Z35" s="145"/>
      <c r="AA35" s="145"/>
    </row>
    <row r="36" spans="1:27" ht="18" customHeight="1" thickBot="1">
      <c r="B36" s="183" t="str">
        <f>IF(Info!D34,"Femur breadth","D Fémur")</f>
        <v>Femur breadth</v>
      </c>
      <c r="C36" s="184"/>
      <c r="D36" s="184"/>
      <c r="E36" s="185"/>
      <c r="F36" s="186"/>
      <c r="G36" s="86">
        <v>9.6999999999999993</v>
      </c>
      <c r="H36" s="86"/>
      <c r="I36" s="86"/>
      <c r="J36" s="187"/>
      <c r="K36" s="182">
        <f>+(H36-G36)/(AVERAGE(G36:H36))</f>
        <v>-1</v>
      </c>
      <c r="L36" s="188" t="str">
        <f>IF(ABS(K36)&gt;1%,"Yes","No")</f>
        <v>Yes</v>
      </c>
      <c r="M36" s="187"/>
      <c r="N36" s="189">
        <f>IF(I36=0,AVERAGE(G36,H36),MEDIAN(G36,H36,I36))</f>
        <v>9.6999999999999993</v>
      </c>
      <c r="O36" s="154"/>
      <c r="P36" s="154"/>
      <c r="Q36" s="155"/>
      <c r="R36" s="211" t="str">
        <f t="shared" si="3"/>
        <v>Femur breadth</v>
      </c>
      <c r="S36" s="212"/>
      <c r="T36" s="212"/>
      <c r="U36" s="213">
        <f>+N36</f>
        <v>9.6999999999999993</v>
      </c>
      <c r="V36" s="214" t="s">
        <v>26</v>
      </c>
      <c r="W36" s="215">
        <f>1/0.48*(+U36*((170.18/U$14)^1)-9.52)</f>
        <v>-0.29325284090908993</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24"/>
      <c r="L40" s="225"/>
      <c r="M40" s="225"/>
      <c r="N40" s="224"/>
      <c r="Q40" s="113"/>
      <c r="R40" s="113"/>
      <c r="S40" s="226" t="str">
        <f>'3'!S40</f>
        <v>Somatotype</v>
      </c>
      <c r="T40" s="227" t="str">
        <f>IF(Info!D34,"Endomorphy","Endomorfia")</f>
        <v>Endomorphy</v>
      </c>
      <c r="U40" s="201">
        <f>-0.7182+0.1451*((U17+U18+U21)*(170.18/U14))-0.00068*(((U17+U18+U21)*(170.18/U14))^2)+0.0000014*(((U17+U18+U21)*(170.18/U14))^3)</f>
        <v>2.8999161023618298</v>
      </c>
      <c r="V40" s="124"/>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24"/>
      <c r="L41" s="225"/>
      <c r="M41" s="225"/>
      <c r="N41" s="224"/>
      <c r="O41" s="104"/>
      <c r="P41" s="104"/>
      <c r="Q41" s="113"/>
      <c r="R41" s="113"/>
      <c r="S41" s="227" t="str">
        <f>'3'!S41</f>
        <v>(Heath-Carter)</v>
      </c>
      <c r="T41" s="227" t="str">
        <f>IF(Info!D34,"Mesomorphy","Mesomorfia")</f>
        <v>Mesomorphy</v>
      </c>
      <c r="U41" s="201">
        <f>(0.858*U34)+(0.601*U36)+(0.188*(U27-(U17/10)))+(0.161*(U32-(U24/10)))-(0.131*U14)+4.5</f>
        <v>7.0868999999999964</v>
      </c>
      <c r="V41" s="126"/>
      <c r="W41" s="228"/>
      <c r="X41" s="34"/>
      <c r="Y41" s="126"/>
      <c r="Z41" s="115"/>
      <c r="AA41" s="115"/>
    </row>
    <row r="42" spans="1:27" s="109" customFormat="1">
      <c r="B42" s="223" t="str">
        <f t="shared" si="7"/>
        <v>Sitting height</v>
      </c>
      <c r="C42" s="224"/>
      <c r="D42" s="223">
        <f t="shared" si="8"/>
        <v>0</v>
      </c>
      <c r="E42" s="223">
        <f t="shared" si="9"/>
        <v>0</v>
      </c>
      <c r="F42" s="223">
        <f t="shared" si="10"/>
        <v>1</v>
      </c>
      <c r="G42" s="223">
        <f t="shared" si="11"/>
        <v>0</v>
      </c>
      <c r="H42" s="222">
        <f t="shared" si="12"/>
        <v>1</v>
      </c>
      <c r="I42" s="224">
        <f t="shared" si="13"/>
        <v>0</v>
      </c>
      <c r="J42" s="224">
        <f t="shared" si="13"/>
        <v>1</v>
      </c>
      <c r="K42" s="224"/>
      <c r="L42" s="225"/>
      <c r="M42" s="225"/>
      <c r="N42" s="224"/>
      <c r="O42" s="104"/>
      <c r="P42" s="104"/>
      <c r="Q42" s="113"/>
      <c r="R42" s="113"/>
      <c r="S42" s="124"/>
      <c r="T42" s="227" t="str">
        <f>IF(Info!D34,"Ectomorphy","Ectomorfia")</f>
        <v>Ectomorphy</v>
      </c>
      <c r="U42" s="201">
        <f>IF(V42&gt;40.75,((0.732*V42)-28.58),IF(V42&gt;38.28,((0.463*V42)-17.63),0.1))</f>
        <v>1.0136740003198099</v>
      </c>
      <c r="V42" s="224">
        <f>U14/(U13^(1/3))</f>
        <v>40.267114471533063</v>
      </c>
      <c r="W42" s="228"/>
      <c r="X42" s="34"/>
      <c r="Y42" s="126"/>
      <c r="Z42" s="115"/>
      <c r="AA42" s="115"/>
    </row>
    <row r="43" spans="1:27" s="109" customFormat="1">
      <c r="B43" s="223" t="str">
        <f t="shared" si="7"/>
        <v>Arm Span</v>
      </c>
      <c r="C43" s="224"/>
      <c r="D43" s="223">
        <f t="shared" si="8"/>
        <v>0</v>
      </c>
      <c r="E43" s="223">
        <f t="shared" si="9"/>
        <v>0</v>
      </c>
      <c r="F43" s="223">
        <f t="shared" si="10"/>
        <v>1</v>
      </c>
      <c r="G43" s="223">
        <f t="shared" si="11"/>
        <v>0</v>
      </c>
      <c r="H43" s="222">
        <f t="shared" si="12"/>
        <v>1</v>
      </c>
      <c r="I43" s="224">
        <f t="shared" si="13"/>
        <v>0</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3"/>
        <v>1</v>
      </c>
      <c r="K44" s="224"/>
      <c r="L44" s="225"/>
      <c r="M44" s="225"/>
      <c r="N44" s="224"/>
      <c r="Q44" s="113"/>
      <c r="R44" s="113"/>
      <c r="S44" s="226" t="str">
        <f>'3'!S44</f>
        <v>Body Mass Index (MBI)</v>
      </c>
      <c r="T44" s="229"/>
      <c r="U44" s="201">
        <f>+U13/(U14/100)^2</f>
        <v>26.956353305785125</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24"/>
      <c r="L46" s="225"/>
      <c r="M46" s="225"/>
      <c r="N46" s="224"/>
      <c r="O46" s="104"/>
      <c r="P46" s="104"/>
      <c r="Q46" s="113"/>
      <c r="R46" s="113"/>
      <c r="S46" s="226" t="str">
        <f>'3'!S46</f>
        <v>Waist/Hip ratio</v>
      </c>
      <c r="T46" s="124"/>
      <c r="U46" s="232">
        <f>+U28/U29</f>
        <v>0.80876494023904377</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24"/>
      <c r="L48" s="224"/>
      <c r="M48" s="224"/>
      <c r="N48" s="224"/>
      <c r="O48" s="104"/>
      <c r="P48" s="104"/>
      <c r="Q48" s="113"/>
      <c r="R48" s="113"/>
      <c r="S48" s="226" t="str">
        <f>'3'!S48</f>
        <v>Sum of 6 skinfolds</v>
      </c>
      <c r="T48" s="104"/>
      <c r="U48" s="235">
        <f>SUM(U17:U18,U21:U24)</f>
        <v>72</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24"/>
      <c r="L49" s="224"/>
      <c r="M49" s="224"/>
      <c r="N49" s="224"/>
      <c r="Q49" s="236"/>
      <c r="R49" s="236"/>
      <c r="S49" s="226" t="str">
        <f>'3'!S49</f>
        <v>Sum of 8 skinfolds</v>
      </c>
      <c r="T49" s="104"/>
      <c r="U49" s="235">
        <f>SUM(U17:U24)</f>
        <v>88.5</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24"/>
      <c r="L51" s="224"/>
      <c r="M51" s="224"/>
      <c r="N51" s="224"/>
      <c r="Q51" s="113"/>
      <c r="R51" s="113"/>
      <c r="S51" s="226" t="str">
        <f>'3'!S51</f>
        <v>Fat percentage</v>
      </c>
      <c r="T51" s="238"/>
      <c r="U51" s="35">
        <f>IF(U8=1,0.735*(U17+U24)+1,0.61*(U17+U24)+5.1)</f>
        <v>18.64</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24"/>
      <c r="L52" s="224"/>
      <c r="M52" s="224"/>
      <c r="N52" s="224"/>
      <c r="Q52" s="113"/>
      <c r="R52" s="113"/>
      <c r="U52" s="35">
        <f>IF(U8=1,0.153*(U17+U18+U21+U22)+5.783,0.213*(U17+U18+U21+U22)+7.9)</f>
        <v>11.597000000000001</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10.1472</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24"/>
      <c r="L54" s="224"/>
      <c r="M54" s="224"/>
      <c r="N54" s="224"/>
      <c r="Q54" s="113"/>
      <c r="R54" s="113"/>
      <c r="S54" s="226" t="str">
        <f>'3'!S54</f>
        <v>Muscle percentage</v>
      </c>
      <c r="U54" s="35">
        <f>(U14/100*(0.00744*U26^2+0.00088*U31^2+0.00441*U33^2)+(2.4*(IF(U8=1,1,0)))-0.048*((U10-U11)/365.25)+IF(U7="1",-2,IF(U7="2",1.1,0))+7.8)*100/U13</f>
        <v>47.175173034787178</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24"/>
      <c r="L55" s="224">
        <f>COUNTIF(L13:L36,"yes")</f>
        <v>21</v>
      </c>
      <c r="M55" s="224"/>
      <c r="N55" s="224"/>
      <c r="Q55" s="113"/>
      <c r="R55" s="113"/>
      <c r="U55" s="35">
        <f>(U14/100*((0.0064*(U26^2))+(0.0032*(U31^2))+(0.0015*(U33^2)))+(2.56*IF(U8=1,1,0))+(0.136*(U10-U11)/365.25))*100/U13</f>
        <v>45.529331801370226</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24"/>
      <c r="L56" s="224"/>
      <c r="M56" s="224"/>
      <c r="N56" s="224"/>
      <c r="Q56" s="113"/>
      <c r="R56" s="113"/>
      <c r="S56" s="226" t="str">
        <f>'3'!S56</f>
        <v>Bone percentage</v>
      </c>
      <c r="U56" s="35">
        <f>(3.02*(((U14/100)^2)*(U35/100)*(U36/100)*400)^0.712)*100/U13</f>
        <v>14.939413140789137</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0</v>
      </c>
      <c r="F61" s="223">
        <f t="shared" si="10"/>
        <v>1</v>
      </c>
      <c r="G61" s="223">
        <f t="shared" si="11"/>
        <v>0</v>
      </c>
      <c r="H61" s="222">
        <f t="shared" si="12"/>
        <v>1</v>
      </c>
      <c r="I61" s="224">
        <f t="shared" si="14"/>
        <v>0</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0</v>
      </c>
      <c r="F62" s="223">
        <f t="shared" si="10"/>
        <v>1</v>
      </c>
      <c r="G62" s="223">
        <f t="shared" si="11"/>
        <v>0</v>
      </c>
      <c r="H62" s="222">
        <f t="shared" si="12"/>
        <v>1</v>
      </c>
      <c r="I62" s="224">
        <f t="shared" si="14"/>
        <v>0</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0</v>
      </c>
      <c r="E64" s="223">
        <f t="shared" si="15"/>
        <v>0</v>
      </c>
      <c r="F64" s="223">
        <f t="shared" si="15"/>
        <v>21</v>
      </c>
      <c r="G64" s="223">
        <f t="shared" si="15"/>
        <v>0</v>
      </c>
      <c r="H64" s="223">
        <f t="shared" si="15"/>
        <v>21</v>
      </c>
      <c r="I64" s="224">
        <f t="shared" si="15"/>
        <v>0</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83.5</v>
      </c>
      <c r="H67" s="245">
        <f t="shared" si="16"/>
        <v>0</v>
      </c>
      <c r="I67" s="245">
        <f t="shared" si="16"/>
        <v>0</v>
      </c>
      <c r="J67" s="224">
        <f>ABS(G67-H67)</f>
        <v>83.5</v>
      </c>
      <c r="K67" s="224">
        <f>ABS(I67-G67)</f>
        <v>83.5</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176</v>
      </c>
      <c r="H68" s="245">
        <f t="shared" si="16"/>
        <v>0</v>
      </c>
      <c r="I68" s="245">
        <f t="shared" si="16"/>
        <v>0</v>
      </c>
      <c r="J68" s="224">
        <f t="shared" ref="J68:J87" si="18">ABS(G68-H68)</f>
        <v>176</v>
      </c>
      <c r="K68" s="224">
        <f t="shared" ref="K68:K87" si="19">ABS(I68-G68)</f>
        <v>176</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89</v>
      </c>
      <c r="H69" s="245">
        <f t="shared" si="16"/>
        <v>0</v>
      </c>
      <c r="I69" s="245">
        <f t="shared" si="16"/>
        <v>0</v>
      </c>
      <c r="J69" s="224">
        <f t="shared" si="18"/>
        <v>89</v>
      </c>
      <c r="K69" s="224">
        <f t="shared" si="19"/>
        <v>89</v>
      </c>
      <c r="L69" s="224">
        <f t="shared" si="20"/>
        <v>0</v>
      </c>
      <c r="M69" s="246">
        <f t="shared" si="21"/>
        <v>0</v>
      </c>
      <c r="N69" s="246">
        <f t="shared" si="22"/>
        <v>0</v>
      </c>
    </row>
    <row r="70" spans="1:22" s="247" customFormat="1">
      <c r="B70" s="269" t="str">
        <f t="shared" si="17"/>
        <v>Arm Span</v>
      </c>
      <c r="C70" s="269"/>
      <c r="D70" s="269"/>
      <c r="E70" s="269"/>
      <c r="F70" s="269"/>
      <c r="G70" s="245">
        <f t="shared" si="16"/>
        <v>177</v>
      </c>
      <c r="H70" s="245">
        <f t="shared" si="16"/>
        <v>0</v>
      </c>
      <c r="I70" s="245">
        <f t="shared" si="16"/>
        <v>0</v>
      </c>
      <c r="J70" s="224">
        <f t="shared" si="18"/>
        <v>177</v>
      </c>
      <c r="K70" s="224">
        <f t="shared" si="19"/>
        <v>177</v>
      </c>
      <c r="L70" s="224">
        <f t="shared" si="20"/>
        <v>0</v>
      </c>
      <c r="M70" s="246">
        <f t="shared" si="21"/>
        <v>0</v>
      </c>
      <c r="N70" s="246">
        <f t="shared" si="22"/>
        <v>0</v>
      </c>
    </row>
    <row r="71" spans="1:22" s="247" customFormat="1">
      <c r="B71" s="269" t="str">
        <f t="shared" si="17"/>
        <v>Triceps sf</v>
      </c>
      <c r="C71" s="269"/>
      <c r="D71" s="269"/>
      <c r="E71" s="269"/>
      <c r="F71" s="269"/>
      <c r="G71" s="245">
        <f t="shared" si="16"/>
        <v>12</v>
      </c>
      <c r="H71" s="245">
        <f t="shared" si="16"/>
        <v>0</v>
      </c>
      <c r="I71" s="245">
        <f t="shared" si="16"/>
        <v>0</v>
      </c>
      <c r="J71" s="224">
        <f t="shared" si="18"/>
        <v>12</v>
      </c>
      <c r="K71" s="224">
        <f t="shared" si="19"/>
        <v>12</v>
      </c>
      <c r="L71" s="224">
        <f t="shared" si="20"/>
        <v>0</v>
      </c>
      <c r="M71" s="246">
        <f t="shared" si="21"/>
        <v>0</v>
      </c>
      <c r="N71" s="246">
        <f t="shared" si="22"/>
        <v>0</v>
      </c>
    </row>
    <row r="72" spans="1:22" s="247" customFormat="1">
      <c r="B72" s="269" t="str">
        <f t="shared" si="17"/>
        <v>Subscapular sf</v>
      </c>
      <c r="C72" s="269"/>
      <c r="D72" s="269"/>
      <c r="E72" s="269"/>
      <c r="F72" s="269"/>
      <c r="G72" s="245">
        <f t="shared" si="16"/>
        <v>11</v>
      </c>
      <c r="H72" s="245">
        <f t="shared" si="16"/>
        <v>0</v>
      </c>
      <c r="I72" s="245">
        <f t="shared" si="16"/>
        <v>0</v>
      </c>
      <c r="J72" s="224">
        <f t="shared" si="18"/>
        <v>11</v>
      </c>
      <c r="K72" s="224">
        <f t="shared" si="19"/>
        <v>11</v>
      </c>
      <c r="L72" s="224">
        <f t="shared" si="20"/>
        <v>0</v>
      </c>
      <c r="M72" s="246">
        <f t="shared" si="21"/>
        <v>0</v>
      </c>
      <c r="N72" s="246">
        <f t="shared" si="22"/>
        <v>0</v>
      </c>
    </row>
    <row r="73" spans="1:22" s="247" customFormat="1">
      <c r="B73" s="269" t="str">
        <f t="shared" si="17"/>
        <v>Biceps sf</v>
      </c>
      <c r="C73" s="269"/>
      <c r="D73" s="269"/>
      <c r="E73" s="269"/>
      <c r="F73" s="269"/>
      <c r="G73" s="245">
        <f t="shared" si="16"/>
        <v>2.5</v>
      </c>
      <c r="H73" s="245">
        <f t="shared" si="16"/>
        <v>0</v>
      </c>
      <c r="I73" s="245">
        <f t="shared" si="16"/>
        <v>0</v>
      </c>
      <c r="J73" s="224">
        <f t="shared" si="18"/>
        <v>2.5</v>
      </c>
      <c r="K73" s="224">
        <f t="shared" si="19"/>
        <v>2.5</v>
      </c>
      <c r="L73" s="224">
        <f t="shared" si="20"/>
        <v>0</v>
      </c>
      <c r="M73" s="246">
        <f t="shared" si="21"/>
        <v>0</v>
      </c>
      <c r="N73" s="246">
        <f t="shared" si="22"/>
        <v>0</v>
      </c>
    </row>
    <row r="74" spans="1:22" s="247" customFormat="1">
      <c r="B74" s="269" t="str">
        <f t="shared" si="17"/>
        <v>Iliac crest sf</v>
      </c>
      <c r="C74" s="269"/>
      <c r="D74" s="269"/>
      <c r="E74" s="269"/>
      <c r="F74" s="269"/>
      <c r="G74" s="245">
        <f t="shared" si="16"/>
        <v>14</v>
      </c>
      <c r="H74" s="245">
        <f t="shared" si="16"/>
        <v>0</v>
      </c>
      <c r="I74" s="245">
        <f t="shared" si="16"/>
        <v>0</v>
      </c>
      <c r="J74" s="224">
        <f t="shared" si="18"/>
        <v>14</v>
      </c>
      <c r="K74" s="224">
        <f t="shared" si="19"/>
        <v>14</v>
      </c>
      <c r="L74" s="224">
        <f t="shared" si="20"/>
        <v>0</v>
      </c>
      <c r="M74" s="246">
        <f t="shared" si="21"/>
        <v>0</v>
      </c>
      <c r="N74" s="246">
        <f t="shared" si="22"/>
        <v>0</v>
      </c>
    </row>
    <row r="75" spans="1:22" s="247" customFormat="1">
      <c r="B75" s="269" t="str">
        <f t="shared" si="17"/>
        <v>Supraspinale sf</v>
      </c>
      <c r="C75" s="269"/>
      <c r="D75" s="269"/>
      <c r="E75" s="269"/>
      <c r="F75" s="269"/>
      <c r="G75" s="245">
        <f t="shared" si="16"/>
        <v>6.5</v>
      </c>
      <c r="H75" s="245">
        <f t="shared" si="16"/>
        <v>0</v>
      </c>
      <c r="I75" s="245">
        <f t="shared" si="16"/>
        <v>0</v>
      </c>
      <c r="J75" s="224">
        <f t="shared" si="18"/>
        <v>6.5</v>
      </c>
      <c r="K75" s="224">
        <f t="shared" si="19"/>
        <v>6.5</v>
      </c>
      <c r="L75" s="224">
        <f t="shared" si="20"/>
        <v>0</v>
      </c>
      <c r="M75" s="246">
        <f t="shared" si="21"/>
        <v>0</v>
      </c>
      <c r="N75" s="246">
        <f t="shared" si="22"/>
        <v>0</v>
      </c>
    </row>
    <row r="76" spans="1:22" s="247" customFormat="1">
      <c r="B76" s="269" t="str">
        <f t="shared" si="17"/>
        <v>Abdominal sf</v>
      </c>
      <c r="C76" s="269"/>
      <c r="D76" s="269"/>
      <c r="E76" s="269"/>
      <c r="F76" s="269"/>
      <c r="G76" s="245">
        <f t="shared" si="16"/>
        <v>8.5</v>
      </c>
      <c r="H76" s="245">
        <f t="shared" si="16"/>
        <v>0</v>
      </c>
      <c r="I76" s="245">
        <f t="shared" si="16"/>
        <v>0</v>
      </c>
      <c r="J76" s="224">
        <f t="shared" si="18"/>
        <v>8.5</v>
      </c>
      <c r="K76" s="224">
        <f t="shared" si="19"/>
        <v>8.5</v>
      </c>
      <c r="L76" s="224">
        <f t="shared" si="20"/>
        <v>0</v>
      </c>
      <c r="M76" s="246">
        <f t="shared" si="21"/>
        <v>0</v>
      </c>
      <c r="N76" s="246">
        <f t="shared" si="22"/>
        <v>0</v>
      </c>
    </row>
    <row r="77" spans="1:22" s="247" customFormat="1">
      <c r="A77" s="244"/>
      <c r="B77" s="269" t="str">
        <f t="shared" si="17"/>
        <v>Thigh sf</v>
      </c>
      <c r="C77" s="269"/>
      <c r="D77" s="269"/>
      <c r="E77" s="269"/>
      <c r="F77" s="269"/>
      <c r="G77" s="245">
        <f t="shared" si="16"/>
        <v>22</v>
      </c>
      <c r="H77" s="245">
        <f t="shared" si="16"/>
        <v>0</v>
      </c>
      <c r="I77" s="245">
        <f t="shared" si="16"/>
        <v>0</v>
      </c>
      <c r="J77" s="224">
        <f t="shared" si="18"/>
        <v>22</v>
      </c>
      <c r="K77" s="224">
        <f t="shared" si="19"/>
        <v>22</v>
      </c>
      <c r="L77" s="224">
        <f t="shared" si="20"/>
        <v>0</v>
      </c>
      <c r="M77" s="246">
        <f t="shared" si="21"/>
        <v>0</v>
      </c>
      <c r="N77" s="246">
        <f t="shared" si="22"/>
        <v>0</v>
      </c>
    </row>
    <row r="78" spans="1:22" s="247" customFormat="1">
      <c r="B78" s="269" t="str">
        <f t="shared" si="17"/>
        <v>Calf sf</v>
      </c>
      <c r="C78" s="269"/>
      <c r="D78" s="269"/>
      <c r="E78" s="269"/>
      <c r="F78" s="269"/>
      <c r="G78" s="245">
        <f t="shared" si="16"/>
        <v>12</v>
      </c>
      <c r="H78" s="245">
        <f t="shared" si="16"/>
        <v>0</v>
      </c>
      <c r="I78" s="245">
        <f t="shared" si="16"/>
        <v>0</v>
      </c>
      <c r="J78" s="224">
        <f t="shared" si="18"/>
        <v>12</v>
      </c>
      <c r="K78" s="224">
        <f t="shared" si="19"/>
        <v>12</v>
      </c>
      <c r="L78" s="224">
        <f t="shared" si="20"/>
        <v>0</v>
      </c>
      <c r="M78" s="246">
        <f t="shared" si="21"/>
        <v>0</v>
      </c>
      <c r="N78" s="246">
        <f t="shared" si="22"/>
        <v>0</v>
      </c>
    </row>
    <row r="79" spans="1:22" s="247" customFormat="1">
      <c r="B79" s="269" t="str">
        <f t="shared" si="17"/>
        <v>Arm girth relaxed</v>
      </c>
      <c r="C79" s="269"/>
      <c r="D79" s="269"/>
      <c r="E79" s="269"/>
      <c r="F79" s="269"/>
      <c r="G79" s="245">
        <f t="shared" si="16"/>
        <v>39.4</v>
      </c>
      <c r="H79" s="245">
        <f t="shared" si="16"/>
        <v>0</v>
      </c>
      <c r="I79" s="245">
        <f t="shared" si="16"/>
        <v>0</v>
      </c>
      <c r="J79" s="224">
        <f t="shared" si="18"/>
        <v>39.4</v>
      </c>
      <c r="K79" s="224">
        <f t="shared" si="19"/>
        <v>39.4</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42.1</v>
      </c>
      <c r="H80" s="245">
        <f t="shared" si="23"/>
        <v>0</v>
      </c>
      <c r="I80" s="245">
        <f t="shared" si="23"/>
        <v>0</v>
      </c>
      <c r="J80" s="224">
        <f t="shared" si="18"/>
        <v>42.1</v>
      </c>
      <c r="K80" s="224">
        <f t="shared" si="19"/>
        <v>42.1</v>
      </c>
      <c r="L80" s="224">
        <f t="shared" si="20"/>
        <v>0</v>
      </c>
      <c r="M80" s="246">
        <f t="shared" si="21"/>
        <v>0</v>
      </c>
      <c r="N80" s="246">
        <f t="shared" si="22"/>
        <v>0</v>
      </c>
    </row>
    <row r="81" spans="1:14" s="247" customFormat="1">
      <c r="B81" s="269" t="str">
        <f>B28</f>
        <v>Waist girth</v>
      </c>
      <c r="C81" s="269"/>
      <c r="D81" s="269"/>
      <c r="E81" s="269"/>
      <c r="F81" s="269"/>
      <c r="G81" s="245">
        <f t="shared" si="23"/>
        <v>81.2</v>
      </c>
      <c r="H81" s="245">
        <f t="shared" si="23"/>
        <v>0</v>
      </c>
      <c r="I81" s="245">
        <f t="shared" si="23"/>
        <v>0</v>
      </c>
      <c r="J81" s="224">
        <f t="shared" si="18"/>
        <v>81.2</v>
      </c>
      <c r="K81" s="224">
        <f t="shared" si="19"/>
        <v>81.2</v>
      </c>
      <c r="L81" s="224">
        <f t="shared" si="20"/>
        <v>0</v>
      </c>
      <c r="M81" s="246">
        <f t="shared" si="21"/>
        <v>0</v>
      </c>
      <c r="N81" s="246">
        <f t="shared" si="22"/>
        <v>0</v>
      </c>
    </row>
    <row r="82" spans="1:14" s="247" customFormat="1">
      <c r="B82" s="269" t="str">
        <f>B29</f>
        <v>Hips girth</v>
      </c>
      <c r="C82" s="269"/>
      <c r="D82" s="269"/>
      <c r="E82" s="269"/>
      <c r="F82" s="269"/>
      <c r="G82" s="245">
        <f t="shared" si="23"/>
        <v>100.4</v>
      </c>
      <c r="H82" s="245">
        <f t="shared" si="23"/>
        <v>0</v>
      </c>
      <c r="I82" s="245">
        <f t="shared" si="23"/>
        <v>0</v>
      </c>
      <c r="J82" s="224">
        <f t="shared" si="18"/>
        <v>100.4</v>
      </c>
      <c r="K82" s="224">
        <f t="shared" si="19"/>
        <v>100.4</v>
      </c>
      <c r="L82" s="224">
        <f t="shared" si="20"/>
        <v>0</v>
      </c>
      <c r="M82" s="246">
        <f t="shared" si="21"/>
        <v>0</v>
      </c>
      <c r="N82" s="246">
        <f t="shared" si="22"/>
        <v>0</v>
      </c>
    </row>
    <row r="83" spans="1:14">
      <c r="A83" s="247"/>
      <c r="B83" s="269" t="str">
        <f>B30</f>
        <v>Thigh middle girth</v>
      </c>
      <c r="C83" s="269"/>
      <c r="D83" s="269"/>
      <c r="E83" s="269"/>
      <c r="F83" s="269"/>
      <c r="G83" s="245">
        <f t="shared" si="23"/>
        <v>57.7</v>
      </c>
      <c r="H83" s="245">
        <f t="shared" si="23"/>
        <v>0</v>
      </c>
      <c r="I83" s="245">
        <f t="shared" si="23"/>
        <v>0</v>
      </c>
      <c r="J83" s="224">
        <f t="shared" si="18"/>
        <v>57.7</v>
      </c>
      <c r="K83" s="224">
        <f t="shared" si="19"/>
        <v>57.7</v>
      </c>
      <c r="L83" s="224">
        <f t="shared" si="20"/>
        <v>0</v>
      </c>
      <c r="M83" s="246">
        <f t="shared" si="21"/>
        <v>0</v>
      </c>
      <c r="N83" s="246">
        <f t="shared" si="22"/>
        <v>0</v>
      </c>
    </row>
    <row r="84" spans="1:14">
      <c r="B84" s="269" t="str">
        <f>B32</f>
        <v>Calf girth</v>
      </c>
      <c r="C84" s="269"/>
      <c r="D84" s="269"/>
      <c r="E84" s="269"/>
      <c r="F84" s="269"/>
      <c r="G84" s="245">
        <f>+G32</f>
        <v>39.200000000000003</v>
      </c>
      <c r="H84" s="245">
        <f>+H32</f>
        <v>0</v>
      </c>
      <c r="I84" s="245">
        <f>+I32</f>
        <v>0</v>
      </c>
      <c r="J84" s="224">
        <f t="shared" si="18"/>
        <v>39.200000000000003</v>
      </c>
      <c r="K84" s="224">
        <f t="shared" si="19"/>
        <v>39.200000000000003</v>
      </c>
      <c r="L84" s="224">
        <f t="shared" si="20"/>
        <v>0</v>
      </c>
      <c r="M84" s="246">
        <f t="shared" si="21"/>
        <v>0</v>
      </c>
      <c r="N84" s="246">
        <f t="shared" si="22"/>
        <v>0</v>
      </c>
    </row>
    <row r="85" spans="1:14">
      <c r="B85" s="269" t="str">
        <f>B34</f>
        <v>Humerus breadth</v>
      </c>
      <c r="C85" s="269"/>
      <c r="D85" s="269"/>
      <c r="E85" s="269"/>
      <c r="F85" s="269"/>
      <c r="G85" s="245">
        <f t="shared" ref="G85:I87" si="24">+G34</f>
        <v>7</v>
      </c>
      <c r="H85" s="245">
        <f t="shared" si="24"/>
        <v>0</v>
      </c>
      <c r="I85" s="245">
        <f t="shared" si="24"/>
        <v>0</v>
      </c>
      <c r="J85" s="224">
        <f t="shared" si="18"/>
        <v>7</v>
      </c>
      <c r="K85" s="224">
        <f t="shared" si="19"/>
        <v>7</v>
      </c>
      <c r="L85" s="224">
        <f t="shared" si="20"/>
        <v>0</v>
      </c>
      <c r="M85" s="246">
        <f t="shared" si="21"/>
        <v>0</v>
      </c>
      <c r="N85" s="246">
        <f t="shared" si="22"/>
        <v>0</v>
      </c>
    </row>
    <row r="86" spans="1:14">
      <c r="B86" s="269" t="str">
        <f>B35</f>
        <v>Bi-styloid breadth</v>
      </c>
      <c r="C86" s="269"/>
      <c r="D86" s="269"/>
      <c r="E86" s="269"/>
      <c r="F86" s="269"/>
      <c r="G86" s="245">
        <f t="shared" si="24"/>
        <v>6.1</v>
      </c>
      <c r="H86" s="245">
        <f t="shared" si="24"/>
        <v>0</v>
      </c>
      <c r="I86" s="245">
        <f t="shared" si="24"/>
        <v>0</v>
      </c>
      <c r="J86" s="224">
        <f t="shared" si="18"/>
        <v>6.1</v>
      </c>
      <c r="K86" s="224">
        <f t="shared" si="19"/>
        <v>6.1</v>
      </c>
      <c r="L86" s="224">
        <f t="shared" si="20"/>
        <v>0</v>
      </c>
      <c r="M86" s="246">
        <f t="shared" si="21"/>
        <v>0</v>
      </c>
      <c r="N86" s="246">
        <f t="shared" si="22"/>
        <v>0</v>
      </c>
    </row>
    <row r="87" spans="1:14">
      <c r="B87" s="269" t="str">
        <f>B36</f>
        <v>Femur breadth</v>
      </c>
      <c r="C87" s="269"/>
      <c r="D87" s="269"/>
      <c r="E87" s="269"/>
      <c r="F87" s="269"/>
      <c r="G87" s="245">
        <f t="shared" si="24"/>
        <v>9.6999999999999993</v>
      </c>
      <c r="H87" s="245">
        <f t="shared" si="24"/>
        <v>0</v>
      </c>
      <c r="I87" s="245">
        <f t="shared" si="24"/>
        <v>0</v>
      </c>
      <c r="J87" s="224">
        <f t="shared" si="18"/>
        <v>9.6999999999999993</v>
      </c>
      <c r="K87" s="224">
        <f t="shared" si="19"/>
        <v>9.6999999999999993</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NCwM1uFJOYo9rEmMffdP6OMcDyQnUg0g77LK8wCKkHxlwQ2hN82AW/BTOnQZAEK8vxfUYUTs0NPVUxCH8AhUVA==" saltValue="WAYGkaMSzqLiYO1DFMa++g=="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A91"/>
  <sheetViews>
    <sheetView zoomScale="74" zoomScaleNormal="75" zoomScaleSheetLayoutView="75" workbookViewId="0">
      <selection activeCell="H5" sqref="H5"/>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70</v>
      </c>
      <c r="H4" s="71"/>
      <c r="I4" s="72"/>
      <c r="J4" s="118"/>
      <c r="K4" s="118"/>
      <c r="L4" s="111"/>
      <c r="M4" s="111"/>
      <c r="N4" s="111"/>
      <c r="O4" s="104"/>
      <c r="P4" s="104"/>
      <c r="Q4" s="113"/>
      <c r="R4" s="105" t="str">
        <f t="shared" ref="R4:R11" si="0">+B4</f>
        <v>Name</v>
      </c>
      <c r="S4" s="119"/>
      <c r="T4" s="119"/>
      <c r="U4" s="120" t="str">
        <f t="shared" ref="U4:U11" si="1">+G4</f>
        <v>Ani</v>
      </c>
      <c r="V4" s="107"/>
      <c r="W4" s="107"/>
      <c r="X4" s="121"/>
      <c r="Y4" s="107"/>
      <c r="Z4" s="108"/>
      <c r="AA4" s="115"/>
    </row>
    <row r="5" spans="1:27" s="109" customFormat="1">
      <c r="B5" s="116" t="str">
        <f>IF(Info!D34,"Surname","Apellidos")</f>
        <v>Surname</v>
      </c>
      <c r="C5" s="116"/>
      <c r="D5" s="116"/>
      <c r="E5" s="110"/>
      <c r="F5" s="112"/>
      <c r="G5" s="81" t="s">
        <v>71</v>
      </c>
      <c r="H5" s="73"/>
      <c r="I5" s="74"/>
      <c r="J5" s="122"/>
      <c r="K5" s="122"/>
      <c r="L5" s="122"/>
      <c r="M5" s="122"/>
      <c r="N5" s="123"/>
      <c r="O5" s="104"/>
      <c r="P5" s="104"/>
      <c r="Q5" s="113"/>
      <c r="R5" s="113" t="str">
        <f t="shared" si="0"/>
        <v>Surname</v>
      </c>
      <c r="S5" s="124"/>
      <c r="T5" s="124"/>
      <c r="U5" s="125" t="str">
        <f t="shared" si="1"/>
        <v>Arroyo</v>
      </c>
      <c r="V5" s="126"/>
      <c r="W5" s="126"/>
      <c r="X5" s="127"/>
      <c r="Y5" s="126"/>
      <c r="Z5" s="115"/>
      <c r="AA5" s="115"/>
    </row>
    <row r="6" spans="1:27" s="109" customFormat="1">
      <c r="B6" s="116" t="str">
        <f>IF(Info!D34,"Country","País")</f>
        <v>Country</v>
      </c>
      <c r="C6" s="116"/>
      <c r="D6" s="116"/>
      <c r="E6" s="110"/>
      <c r="F6" s="122"/>
      <c r="G6" s="81"/>
      <c r="H6" s="75"/>
      <c r="I6" s="76"/>
      <c r="J6" s="111"/>
      <c r="K6" s="111"/>
      <c r="L6" s="111"/>
      <c r="M6" s="111"/>
      <c r="N6" s="111"/>
      <c r="O6" s="104"/>
      <c r="P6" s="104"/>
      <c r="Q6" s="113"/>
      <c r="R6" s="113" t="str">
        <f t="shared" si="0"/>
        <v>Country</v>
      </c>
      <c r="S6" s="124"/>
      <c r="T6" s="124"/>
      <c r="U6" s="125">
        <f t="shared" si="1"/>
        <v>0</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2</v>
      </c>
      <c r="H8" s="74"/>
      <c r="I8" s="77"/>
      <c r="J8" s="129"/>
      <c r="K8" s="129"/>
      <c r="L8" s="129"/>
      <c r="M8" s="129"/>
      <c r="N8" s="123"/>
      <c r="O8" s="104"/>
      <c r="P8" s="104"/>
      <c r="Q8" s="113"/>
      <c r="R8" s="113" t="str">
        <f t="shared" si="0"/>
        <v>Sex (male=1, female=2)</v>
      </c>
      <c r="S8" s="124"/>
      <c r="T8" s="124"/>
      <c r="U8" s="125">
        <f t="shared" si="1"/>
        <v>2</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44457</v>
      </c>
      <c r="H10" s="76"/>
      <c r="I10" s="76"/>
      <c r="J10" s="111"/>
      <c r="K10" s="111"/>
      <c r="L10" s="111"/>
      <c r="M10" s="111"/>
      <c r="N10" s="122"/>
      <c r="O10" s="104"/>
      <c r="P10" s="104"/>
      <c r="Q10" s="113"/>
      <c r="R10" s="113" t="str">
        <f t="shared" si="0"/>
        <v>Date of Measurement</v>
      </c>
      <c r="S10" s="124"/>
      <c r="T10" s="124"/>
      <c r="U10" s="131">
        <f t="shared" si="1"/>
        <v>44457</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34382</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34382</v>
      </c>
      <c r="V11" s="138"/>
      <c r="W11" s="138"/>
      <c r="X11" s="139"/>
      <c r="Y11" s="140"/>
      <c r="Z11" s="141"/>
      <c r="AA11" s="115"/>
    </row>
    <row r="12" spans="1:27" ht="14.4" thickTop="1" thickBot="1">
      <c r="A12" s="109"/>
      <c r="B12" s="116" t="str">
        <f>IF(Info!D34,"Measure","Medida")</f>
        <v>Measure</v>
      </c>
      <c r="C12" s="116"/>
      <c r="D12" s="116"/>
      <c r="E12" s="122"/>
      <c r="F12" s="112"/>
      <c r="G12" s="78"/>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49.3</v>
      </c>
      <c r="H13" s="84"/>
      <c r="I13" s="84"/>
      <c r="J13" s="150"/>
      <c r="K13" s="151">
        <f>+(H13-G13)/(AVERAGE(G13:H13))</f>
        <v>-1</v>
      </c>
      <c r="L13" s="152" t="str">
        <f>IF(ABS(K13)&gt;1%,"Yes","No")</f>
        <v>Yes</v>
      </c>
      <c r="M13" s="150"/>
      <c r="N13" s="153">
        <f t="shared" ref="N13:N25" si="2">IF(I13=0,AVERAGE(G13,H13),MEDIAN(G13,H13,I13))</f>
        <v>49.3</v>
      </c>
      <c r="O13" s="154"/>
      <c r="P13" s="154"/>
      <c r="Q13" s="155"/>
      <c r="R13" s="156" t="str">
        <f t="shared" ref="R13:R36" si="3">+B13</f>
        <v>Mass</v>
      </c>
      <c r="S13" s="157"/>
      <c r="T13" s="157"/>
      <c r="U13" s="158">
        <f t="shared" ref="U13:U25" si="4">+N13</f>
        <v>49.3</v>
      </c>
      <c r="V13" s="159" t="s">
        <v>25</v>
      </c>
      <c r="W13" s="160">
        <f>1/8.6*(+U13*((170.18/U$14)^3)-64.58)</f>
        <v>-1.1039579820387311</v>
      </c>
      <c r="X13" s="121"/>
      <c r="Y13" s="107"/>
      <c r="Z13" s="108"/>
      <c r="AA13" s="115"/>
    </row>
    <row r="14" spans="1:27" s="109" customFormat="1">
      <c r="B14" s="161" t="str">
        <f>IF(Info!D34,"Stature","Talla")</f>
        <v>Stature</v>
      </c>
      <c r="C14" s="116"/>
      <c r="D14" s="116"/>
      <c r="E14" s="122"/>
      <c r="F14" s="110"/>
      <c r="G14" s="259">
        <v>164</v>
      </c>
      <c r="H14" s="85"/>
      <c r="I14" s="85"/>
      <c r="J14" s="134"/>
      <c r="K14" s="162">
        <f t="shared" ref="K14:K34" si="5">+(H14-G14)/(AVERAGE(G14:H14))</f>
        <v>-1</v>
      </c>
      <c r="L14" s="163" t="str">
        <f>IF(ABS(K14)&gt;1%,"Yes","No")</f>
        <v>Yes</v>
      </c>
      <c r="M14" s="134"/>
      <c r="N14" s="164">
        <f t="shared" si="2"/>
        <v>164</v>
      </c>
      <c r="O14" s="154"/>
      <c r="P14" s="154"/>
      <c r="Q14" s="155"/>
      <c r="R14" s="155" t="str">
        <f t="shared" si="3"/>
        <v>Stature</v>
      </c>
      <c r="S14" s="165"/>
      <c r="T14" s="165"/>
      <c r="U14" s="166">
        <f t="shared" si="4"/>
        <v>164</v>
      </c>
      <c r="V14" s="167" t="s">
        <v>26</v>
      </c>
      <c r="W14" s="132"/>
      <c r="X14" s="132"/>
      <c r="Y14" s="133"/>
      <c r="Z14" s="115"/>
      <c r="AA14" s="115"/>
    </row>
    <row r="15" spans="1:27" s="109" customFormat="1">
      <c r="B15" s="161" t="str">
        <f>IF(Info!D34,"Sitting height","Talla sentado")</f>
        <v>Sitting height</v>
      </c>
      <c r="C15" s="116"/>
      <c r="D15" s="116"/>
      <c r="E15" s="122"/>
      <c r="F15" s="110"/>
      <c r="G15" s="87">
        <v>81</v>
      </c>
      <c r="H15" s="87"/>
      <c r="I15" s="87"/>
      <c r="J15" s="134"/>
      <c r="K15" s="162">
        <f t="shared" si="5"/>
        <v>-1</v>
      </c>
      <c r="L15" s="163" t="str">
        <f>IF(ABS(K15)&gt;1%,"Yes","No")</f>
        <v>Yes</v>
      </c>
      <c r="M15" s="134"/>
      <c r="N15" s="164">
        <f t="shared" si="2"/>
        <v>81</v>
      </c>
      <c r="O15" s="154"/>
      <c r="P15" s="154"/>
      <c r="Q15" s="155"/>
      <c r="R15" s="155" t="str">
        <f t="shared" si="3"/>
        <v>Sitting height</v>
      </c>
      <c r="S15" s="165"/>
      <c r="T15" s="165"/>
      <c r="U15" s="166">
        <f t="shared" si="4"/>
        <v>81</v>
      </c>
      <c r="V15" s="167" t="s">
        <v>26</v>
      </c>
      <c r="W15" s="32">
        <f>1/4.5*(+U15*((170.18/U$14)^1)-89.92)</f>
        <v>-1.3039295392953911</v>
      </c>
      <c r="X15" s="132"/>
      <c r="Y15" s="133"/>
      <c r="Z15" s="115"/>
      <c r="AA15" s="115"/>
    </row>
    <row r="16" spans="1:27" s="109" customFormat="1" ht="13.8" thickBot="1">
      <c r="B16" s="161" t="str">
        <f>IF(Info!D34,"Arm Span","Envergadura de brazos")</f>
        <v>Arm Span</v>
      </c>
      <c r="C16" s="116"/>
      <c r="D16" s="116"/>
      <c r="E16" s="122"/>
      <c r="F16" s="110"/>
      <c r="G16" s="87">
        <v>158.5</v>
      </c>
      <c r="H16" s="87"/>
      <c r="I16" s="87"/>
      <c r="J16" s="134"/>
      <c r="K16" s="162">
        <f t="shared" si="5"/>
        <v>-1</v>
      </c>
      <c r="L16" s="163" t="str">
        <f>IF(ABS(K16)&gt;1%,"Yes","No")</f>
        <v>Yes</v>
      </c>
      <c r="M16" s="134"/>
      <c r="N16" s="164">
        <f t="shared" si="2"/>
        <v>158.5</v>
      </c>
      <c r="O16" s="154"/>
      <c r="P16" s="154"/>
      <c r="Q16" s="155"/>
      <c r="R16" s="168" t="str">
        <f t="shared" si="3"/>
        <v>Arm Span</v>
      </c>
      <c r="S16" s="169"/>
      <c r="T16" s="169"/>
      <c r="U16" s="170">
        <f t="shared" si="4"/>
        <v>158.5</v>
      </c>
      <c r="V16" s="171" t="s">
        <v>26</v>
      </c>
      <c r="W16" s="33">
        <f>1/7.41*(+U16*((170.18/U$14)^1)-172.35)</f>
        <v>-1.0630575030446618</v>
      </c>
      <c r="X16" s="172"/>
      <c r="Y16" s="173"/>
      <c r="Z16" s="174"/>
      <c r="AA16" s="115"/>
    </row>
    <row r="17" spans="1:27" ht="18" customHeight="1" thickTop="1">
      <c r="A17" s="109"/>
      <c r="B17" s="146" t="str">
        <f>IF(Info!D34,"Triceps sf","PL Tríceps")</f>
        <v>Triceps sf</v>
      </c>
      <c r="C17" s="147"/>
      <c r="D17" s="147"/>
      <c r="E17" s="148"/>
      <c r="F17" s="149"/>
      <c r="G17" s="84">
        <v>9</v>
      </c>
      <c r="H17" s="84"/>
      <c r="I17" s="84"/>
      <c r="J17" s="150"/>
      <c r="K17" s="151">
        <f t="shared" si="5"/>
        <v>-1</v>
      </c>
      <c r="L17" s="152" t="str">
        <f t="shared" ref="L17:L24" si="6">IF(ABS(K17)&gt;5%,"Yes","No")</f>
        <v>Yes</v>
      </c>
      <c r="M17" s="150"/>
      <c r="N17" s="153">
        <f t="shared" si="2"/>
        <v>9</v>
      </c>
      <c r="O17" s="154"/>
      <c r="P17" s="154"/>
      <c r="Q17" s="155"/>
      <c r="R17" s="156" t="str">
        <f t="shared" si="3"/>
        <v>Triceps sf</v>
      </c>
      <c r="S17" s="157"/>
      <c r="T17" s="157"/>
      <c r="U17" s="175">
        <f t="shared" si="4"/>
        <v>9</v>
      </c>
      <c r="V17" s="176" t="s">
        <v>27</v>
      </c>
      <c r="W17" s="177">
        <f>1/4.47*(+U17*((170.18/U$14)^1)-15.4)</f>
        <v>-1.3558956730506904</v>
      </c>
      <c r="X17" s="178"/>
      <c r="Y17" s="176"/>
      <c r="Z17" s="179"/>
      <c r="AA17" s="145"/>
    </row>
    <row r="18" spans="1:27" ht="18" customHeight="1">
      <c r="B18" s="161" t="str">
        <f>IF(Info!D34,"Subscapular sf","PL Subescapular")</f>
        <v>Subscapular sf</v>
      </c>
      <c r="C18" s="116"/>
      <c r="D18" s="116"/>
      <c r="E18" s="122"/>
      <c r="F18" s="110"/>
      <c r="G18" s="259">
        <v>5</v>
      </c>
      <c r="H18" s="85"/>
      <c r="I18" s="85"/>
      <c r="J18" s="134"/>
      <c r="K18" s="162">
        <f t="shared" si="5"/>
        <v>-1</v>
      </c>
      <c r="L18" s="163" t="str">
        <f t="shared" si="6"/>
        <v>Yes</v>
      </c>
      <c r="M18" s="134"/>
      <c r="N18" s="164">
        <f t="shared" si="2"/>
        <v>5</v>
      </c>
      <c r="O18" s="154"/>
      <c r="P18" s="154"/>
      <c r="Q18" s="155"/>
      <c r="R18" s="155" t="str">
        <f t="shared" si="3"/>
        <v>Subscapular sf</v>
      </c>
      <c r="S18" s="165"/>
      <c r="T18" s="165"/>
      <c r="U18" s="180">
        <f t="shared" si="4"/>
        <v>5</v>
      </c>
      <c r="V18" s="143" t="s">
        <v>27</v>
      </c>
      <c r="W18" s="32">
        <f>1/5.07*(+U18*((170.18/U$14)^1)-17.2)</f>
        <v>-2.3691489873478613</v>
      </c>
      <c r="X18" s="181"/>
      <c r="Y18" s="143"/>
      <c r="Z18" s="145"/>
      <c r="AA18" s="145"/>
    </row>
    <row r="19" spans="1:27" ht="18" customHeight="1">
      <c r="B19" s="161" t="str">
        <f>IF(Info!D34,"Biceps sf","PL Bíceps")</f>
        <v>Biceps sf</v>
      </c>
      <c r="C19" s="116"/>
      <c r="D19" s="116"/>
      <c r="E19" s="122"/>
      <c r="F19" s="110"/>
      <c r="G19" s="259">
        <v>3.5</v>
      </c>
      <c r="H19" s="85"/>
      <c r="I19" s="85"/>
      <c r="J19" s="134"/>
      <c r="K19" s="182">
        <f t="shared" si="5"/>
        <v>-1</v>
      </c>
      <c r="L19" s="163" t="str">
        <f t="shared" si="6"/>
        <v>Yes</v>
      </c>
      <c r="M19" s="134"/>
      <c r="N19" s="164">
        <f t="shared" si="2"/>
        <v>3.5</v>
      </c>
      <c r="O19" s="154"/>
      <c r="P19" s="154"/>
      <c r="Q19" s="155"/>
      <c r="R19" s="155" t="str">
        <f t="shared" si="3"/>
        <v>Biceps sf</v>
      </c>
      <c r="S19" s="165"/>
      <c r="T19" s="165"/>
      <c r="U19" s="180">
        <f t="shared" si="4"/>
        <v>3.5</v>
      </c>
      <c r="V19" s="143" t="s">
        <v>27</v>
      </c>
      <c r="W19" s="32">
        <f>1/2*(+U19*((170.18/U$14)^1)-8)</f>
        <v>-2.1840548780487801</v>
      </c>
      <c r="X19" s="181"/>
      <c r="Y19" s="143"/>
      <c r="Z19" s="145"/>
      <c r="AA19" s="145"/>
    </row>
    <row r="20" spans="1:27" ht="18" customHeight="1">
      <c r="B20" s="161" t="str">
        <f>IF(Info!D34,"Iliac crest sf","PL Cresta Iliaca")</f>
        <v>Iliac crest sf</v>
      </c>
      <c r="C20" s="116"/>
      <c r="D20" s="116"/>
      <c r="E20" s="122"/>
      <c r="F20" s="110"/>
      <c r="G20" s="259">
        <v>6</v>
      </c>
      <c r="H20" s="85"/>
      <c r="I20" s="85"/>
      <c r="J20" s="134"/>
      <c r="K20" s="182">
        <f t="shared" si="5"/>
        <v>-1</v>
      </c>
      <c r="L20" s="163" t="str">
        <f t="shared" si="6"/>
        <v>Yes</v>
      </c>
      <c r="M20" s="134"/>
      <c r="N20" s="164">
        <f t="shared" si="2"/>
        <v>6</v>
      </c>
      <c r="O20" s="154"/>
      <c r="P20" s="154"/>
      <c r="Q20" s="155"/>
      <c r="R20" s="155" t="str">
        <f t="shared" si="3"/>
        <v>Iliac crest sf</v>
      </c>
      <c r="S20" s="165"/>
      <c r="T20" s="165"/>
      <c r="U20" s="180">
        <f t="shared" si="4"/>
        <v>6</v>
      </c>
      <c r="V20" s="143" t="s">
        <v>28</v>
      </c>
      <c r="W20" s="32">
        <f>1/6.8*(+U20*((170.18/U$14)^1)-22.4)</f>
        <v>-2.3785150645624102</v>
      </c>
      <c r="X20" s="181"/>
      <c r="Y20" s="143"/>
      <c r="Z20" s="145"/>
      <c r="AA20" s="145"/>
    </row>
    <row r="21" spans="1:27" ht="18" customHeight="1">
      <c r="B21" s="161" t="str">
        <f>IF(Info!D34,"Supraspinale sf","PL Supraespinal")</f>
        <v>Supraspinale sf</v>
      </c>
      <c r="C21" s="116"/>
      <c r="D21" s="116"/>
      <c r="E21" s="122"/>
      <c r="F21" s="110"/>
      <c r="G21" s="259">
        <v>4.5</v>
      </c>
      <c r="H21" s="85"/>
      <c r="I21" s="85"/>
      <c r="J21" s="134"/>
      <c r="K21" s="162">
        <f t="shared" si="5"/>
        <v>-1</v>
      </c>
      <c r="L21" s="163" t="str">
        <f t="shared" si="6"/>
        <v>Yes</v>
      </c>
      <c r="M21" s="134"/>
      <c r="N21" s="164">
        <f t="shared" si="2"/>
        <v>4.5</v>
      </c>
      <c r="O21" s="154"/>
      <c r="P21" s="154"/>
      <c r="Q21" s="155"/>
      <c r="R21" s="155" t="str">
        <f t="shared" si="3"/>
        <v>Supraspinale sf</v>
      </c>
      <c r="S21" s="165"/>
      <c r="T21" s="165"/>
      <c r="U21" s="180">
        <f t="shared" si="4"/>
        <v>4.5</v>
      </c>
      <c r="V21" s="143" t="s">
        <v>27</v>
      </c>
      <c r="W21" s="32">
        <f>1/4.47*(+U21*((170.18/U$14)^1)-15.4)</f>
        <v>-2.4005429148251216</v>
      </c>
      <c r="X21" s="181"/>
      <c r="Y21" s="143"/>
      <c r="Z21" s="145"/>
      <c r="AA21" s="145"/>
    </row>
    <row r="22" spans="1:27" ht="18" customHeight="1">
      <c r="B22" s="161" t="str">
        <f>IF(Info!D34,"Abdominal sf","PL Abdominal")</f>
        <v>Abdominal sf</v>
      </c>
      <c r="C22" s="116"/>
      <c r="D22" s="116"/>
      <c r="E22" s="122"/>
      <c r="F22" s="110"/>
      <c r="G22" s="259">
        <v>8</v>
      </c>
      <c r="H22" s="85"/>
      <c r="I22" s="85"/>
      <c r="J22" s="134"/>
      <c r="K22" s="162">
        <f t="shared" si="5"/>
        <v>-1</v>
      </c>
      <c r="L22" s="163" t="str">
        <f t="shared" si="6"/>
        <v>Yes</v>
      </c>
      <c r="M22" s="134"/>
      <c r="N22" s="164">
        <f t="shared" si="2"/>
        <v>8</v>
      </c>
      <c r="O22" s="154"/>
      <c r="P22" s="154"/>
      <c r="Q22" s="155"/>
      <c r="R22" s="155" t="str">
        <f t="shared" si="3"/>
        <v>Abdominal sf</v>
      </c>
      <c r="S22" s="165"/>
      <c r="T22" s="165"/>
      <c r="U22" s="180">
        <f t="shared" si="4"/>
        <v>8</v>
      </c>
      <c r="V22" s="143" t="s">
        <v>27</v>
      </c>
      <c r="W22" s="32">
        <f>1/7.78*(+U22*((170.18/U$14)^1)-25.4)</f>
        <v>-2.1977553451627054</v>
      </c>
      <c r="X22" s="181"/>
      <c r="Y22" s="143"/>
      <c r="Z22" s="145"/>
      <c r="AA22" s="145"/>
    </row>
    <row r="23" spans="1:27" ht="18" customHeight="1">
      <c r="B23" s="161" t="str">
        <f>IF(Info!D34,"Thigh sf","PL Muslo")</f>
        <v>Thigh sf</v>
      </c>
      <c r="C23" s="116"/>
      <c r="D23" s="116"/>
      <c r="E23" s="122"/>
      <c r="F23" s="110"/>
      <c r="G23" s="259">
        <v>13</v>
      </c>
      <c r="H23" s="85"/>
      <c r="I23" s="85"/>
      <c r="J23" s="134"/>
      <c r="K23" s="182">
        <f t="shared" si="5"/>
        <v>-1</v>
      </c>
      <c r="L23" s="163" t="str">
        <f t="shared" si="6"/>
        <v>Yes</v>
      </c>
      <c r="M23" s="134"/>
      <c r="N23" s="164">
        <f t="shared" si="2"/>
        <v>13</v>
      </c>
      <c r="O23" s="154"/>
      <c r="P23" s="154"/>
      <c r="Q23" s="155"/>
      <c r="R23" s="155" t="str">
        <f t="shared" si="3"/>
        <v>Thigh sf</v>
      </c>
      <c r="S23" s="165"/>
      <c r="T23" s="165"/>
      <c r="U23" s="180">
        <f t="shared" si="4"/>
        <v>13</v>
      </c>
      <c r="V23" s="143" t="s">
        <v>27</v>
      </c>
      <c r="W23" s="32">
        <f>1/8.33*(+U23*((170.18/U$14)^1)-27)</f>
        <v>-1.6218633794981405</v>
      </c>
      <c r="X23" s="181"/>
      <c r="Y23" s="143"/>
      <c r="Z23" s="145"/>
      <c r="AA23" s="145"/>
    </row>
    <row r="24" spans="1:27" ht="18" customHeight="1" thickBot="1">
      <c r="B24" s="183" t="str">
        <f>IF(Info!D34,"Calf sf","PL Pierna")</f>
        <v>Calf sf</v>
      </c>
      <c r="C24" s="184"/>
      <c r="D24" s="184"/>
      <c r="E24" s="185"/>
      <c r="F24" s="186"/>
      <c r="G24" s="260">
        <v>5.5</v>
      </c>
      <c r="H24" s="86"/>
      <c r="I24" s="86"/>
      <c r="J24" s="187"/>
      <c r="K24" s="182">
        <f t="shared" si="5"/>
        <v>-1</v>
      </c>
      <c r="L24" s="188" t="str">
        <f t="shared" si="6"/>
        <v>Yes</v>
      </c>
      <c r="M24" s="187"/>
      <c r="N24" s="189">
        <f t="shared" si="2"/>
        <v>5.5</v>
      </c>
      <c r="O24" s="154"/>
      <c r="P24" s="154"/>
      <c r="Q24" s="155"/>
      <c r="R24" s="168" t="str">
        <f t="shared" si="3"/>
        <v>Calf sf</v>
      </c>
      <c r="S24" s="169"/>
      <c r="T24" s="169"/>
      <c r="U24" s="170">
        <f t="shared" si="4"/>
        <v>5.5</v>
      </c>
      <c r="V24" s="173" t="s">
        <v>27</v>
      </c>
      <c r="W24" s="33">
        <f>1/4.67*(+U24*((170.18/U$14)^1)-16)</f>
        <v>-2.2040136836057869</v>
      </c>
      <c r="X24" s="172"/>
      <c r="Y24" s="173"/>
      <c r="Z24" s="174"/>
      <c r="AA24" s="145"/>
    </row>
    <row r="25" spans="1:27" ht="18" customHeight="1">
      <c r="B25" s="161" t="str">
        <f>IF(Info!D34,"Arm girth relaxed","PR Brazo relajado")</f>
        <v>Arm girth relaxed</v>
      </c>
      <c r="C25" s="116"/>
      <c r="D25" s="116"/>
      <c r="E25" s="122"/>
      <c r="F25" s="110"/>
      <c r="G25" s="259">
        <v>24</v>
      </c>
      <c r="H25" s="85"/>
      <c r="I25" s="85"/>
      <c r="J25" s="134"/>
      <c r="K25" s="151">
        <f t="shared" si="5"/>
        <v>-1</v>
      </c>
      <c r="L25" s="163" t="str">
        <f>IF(ABS(K25)&gt;1%,"Yes","No")</f>
        <v>Yes</v>
      </c>
      <c r="M25" s="134"/>
      <c r="N25" s="164">
        <f t="shared" si="2"/>
        <v>24</v>
      </c>
      <c r="O25" s="154"/>
      <c r="P25" s="154"/>
      <c r="Q25" s="155"/>
      <c r="R25" s="155" t="str">
        <f t="shared" si="3"/>
        <v>Arm girth relaxed</v>
      </c>
      <c r="S25" s="165"/>
      <c r="T25" s="165"/>
      <c r="U25" s="180">
        <f t="shared" si="4"/>
        <v>24</v>
      </c>
      <c r="V25" s="143" t="s">
        <v>26</v>
      </c>
      <c r="W25" s="32">
        <f>1/2.33*(+U25*((170.18/U$14)^1)-26.89)</f>
        <v>-0.85219302836805144</v>
      </c>
      <c r="X25" s="181"/>
      <c r="Y25" s="143"/>
      <c r="Z25" s="145"/>
      <c r="AA25" s="145"/>
    </row>
    <row r="26" spans="1:27" ht="18" customHeight="1">
      <c r="B26" s="190" t="str">
        <f>IF(Info!D34,"Corrected arm girth","PR Brazo corregido")</f>
        <v>Corrected arm girth</v>
      </c>
      <c r="C26" s="191"/>
      <c r="D26" s="191"/>
      <c r="E26" s="192"/>
      <c r="F26" s="193"/>
      <c r="G26" s="261"/>
      <c r="H26" s="79"/>
      <c r="I26" s="79"/>
      <c r="J26" s="194"/>
      <c r="K26" s="195"/>
      <c r="L26" s="196"/>
      <c r="M26" s="194"/>
      <c r="N26" s="197"/>
      <c r="O26" s="154"/>
      <c r="P26" s="154"/>
      <c r="Q26" s="155"/>
      <c r="R26" s="155" t="str">
        <f t="shared" si="3"/>
        <v>Corrected arm girth</v>
      </c>
      <c r="S26" s="165"/>
      <c r="T26" s="165"/>
      <c r="U26" s="198">
        <f>+U25-(PI()*U17/10)</f>
        <v>21.172566611769184</v>
      </c>
      <c r="V26" s="143" t="s">
        <v>26</v>
      </c>
      <c r="W26" s="32">
        <f>1/1.91*(+U26*((170.18/U$14)^1)-22.05)</f>
        <v>-4.1669691000893586E-2</v>
      </c>
      <c r="X26" s="181"/>
      <c r="Y26" s="143"/>
      <c r="Z26" s="145"/>
      <c r="AA26" s="145"/>
    </row>
    <row r="27" spans="1:27" ht="18" customHeight="1">
      <c r="B27" s="199" t="str">
        <f>IF(Info!D34,"Arm girth flexed and tensed","PR Brazo flexionado y contraído")</f>
        <v>Arm girth flexed and tensed</v>
      </c>
      <c r="C27" s="116"/>
      <c r="D27" s="116"/>
      <c r="E27" s="122"/>
      <c r="F27" s="110"/>
      <c r="G27" s="259">
        <v>25</v>
      </c>
      <c r="H27" s="85"/>
      <c r="I27" s="85"/>
      <c r="J27" s="134"/>
      <c r="K27" s="182">
        <f t="shared" si="5"/>
        <v>-1</v>
      </c>
      <c r="L27" s="163" t="str">
        <f>IF(ABS(K27)&gt;1%,"Yes","No")</f>
        <v>Yes</v>
      </c>
      <c r="M27" s="134"/>
      <c r="N27" s="164">
        <f>IF(I27=0,AVERAGE(G27,H27),MEDIAN(G27,H27,I27))</f>
        <v>25</v>
      </c>
      <c r="O27" s="154"/>
      <c r="P27" s="154"/>
      <c r="Q27" s="155"/>
      <c r="R27" s="155" t="str">
        <f t="shared" si="3"/>
        <v>Arm girth flexed and tensed</v>
      </c>
      <c r="S27" s="165"/>
      <c r="T27" s="165"/>
      <c r="U27" s="180">
        <f>+N27</f>
        <v>25</v>
      </c>
      <c r="V27" s="143" t="s">
        <v>26</v>
      </c>
      <c r="W27" s="32">
        <f>1/2.37*(+U27*((170.18/U$14)^1)-29.41)</f>
        <v>-1.4632602655140463</v>
      </c>
      <c r="X27" s="181"/>
      <c r="Y27" s="143"/>
      <c r="Z27" s="145"/>
      <c r="AA27" s="145"/>
    </row>
    <row r="28" spans="1:27" ht="18" customHeight="1">
      <c r="B28" s="200" t="str">
        <f>IF(Info!D34,"Waist girth","PR Cintura")</f>
        <v>Waist girth</v>
      </c>
      <c r="C28" s="116"/>
      <c r="D28" s="116"/>
      <c r="E28" s="122"/>
      <c r="F28" s="110"/>
      <c r="G28" s="259">
        <v>64.5</v>
      </c>
      <c r="H28" s="85"/>
      <c r="I28" s="85"/>
      <c r="J28" s="134"/>
      <c r="K28" s="182">
        <f t="shared" si="5"/>
        <v>-1</v>
      </c>
      <c r="L28" s="163" t="str">
        <f>IF(ABS(K28)&gt;1%,"Yes","No")</f>
        <v>Yes</v>
      </c>
      <c r="M28" s="134"/>
      <c r="N28" s="164">
        <f>IF(I28=0,AVERAGE(G28,H28),MEDIAN(G28,H28,I28))</f>
        <v>64.5</v>
      </c>
      <c r="O28" s="154"/>
      <c r="P28" s="154"/>
      <c r="Q28" s="155"/>
      <c r="R28" s="155" t="str">
        <f t="shared" si="3"/>
        <v>Waist girth</v>
      </c>
      <c r="S28" s="165"/>
      <c r="T28" s="165"/>
      <c r="U28" s="180">
        <f>+N28</f>
        <v>64.5</v>
      </c>
      <c r="V28" s="143" t="s">
        <v>26</v>
      </c>
      <c r="W28" s="32">
        <f>1/4.45*(+U28*((170.18/U$14)^1)-71.91)</f>
        <v>-1.1189778021375698</v>
      </c>
      <c r="X28" s="181"/>
      <c r="Y28" s="143"/>
      <c r="Z28" s="145"/>
      <c r="AA28" s="145"/>
    </row>
    <row r="29" spans="1:27" ht="18" customHeight="1">
      <c r="B29" s="200" t="str">
        <f>IF(Info!D34,"Hips girth","PR Caderas")</f>
        <v>Hips girth</v>
      </c>
      <c r="C29" s="116"/>
      <c r="D29" s="116"/>
      <c r="E29" s="122"/>
      <c r="F29" s="110"/>
      <c r="G29" s="259">
        <v>83</v>
      </c>
      <c r="H29" s="85"/>
      <c r="I29" s="85"/>
      <c r="J29" s="134"/>
      <c r="K29" s="182">
        <f t="shared" si="5"/>
        <v>-1</v>
      </c>
      <c r="L29" s="163" t="str">
        <f>IF(ABS(K29)&gt;1%,"Yes","No")</f>
        <v>Yes</v>
      </c>
      <c r="M29" s="134"/>
      <c r="N29" s="164">
        <f>IF(I29=0,AVERAGE(G29,H29),MEDIAN(G29,H29,I29))</f>
        <v>83</v>
      </c>
      <c r="O29" s="154"/>
      <c r="P29" s="154"/>
      <c r="Q29" s="155"/>
      <c r="R29" s="155" t="str">
        <f t="shared" si="3"/>
        <v>Hips girth</v>
      </c>
      <c r="S29" s="165"/>
      <c r="T29" s="165"/>
      <c r="U29" s="180">
        <f>+N29</f>
        <v>83</v>
      </c>
      <c r="V29" s="143" t="s">
        <v>26</v>
      </c>
      <c r="W29" s="32">
        <f>1/5.58*(+U29*((170.18/U$14)^1)-94.67)</f>
        <v>-1.5308811959087314</v>
      </c>
      <c r="X29" s="181"/>
      <c r="Y29" s="143"/>
      <c r="Z29" s="145"/>
      <c r="AA29" s="145"/>
    </row>
    <row r="30" spans="1:27" ht="18" customHeight="1">
      <c r="B30" s="200" t="str">
        <f>IF(Info!D34,"Thigh middle girth","PR Muslo medio")</f>
        <v>Thigh middle girth</v>
      </c>
      <c r="C30" s="116"/>
      <c r="D30" s="116"/>
      <c r="E30" s="122"/>
      <c r="F30" s="110"/>
      <c r="G30" s="259">
        <v>42.5</v>
      </c>
      <c r="H30" s="85"/>
      <c r="I30" s="85"/>
      <c r="J30" s="134"/>
      <c r="K30" s="182">
        <f>+(H30-G30)/(AVERAGE(G30:H30))</f>
        <v>-1</v>
      </c>
      <c r="L30" s="163" t="str">
        <f>IF(ABS(K30)&gt;1%,"Yes","No")</f>
        <v>Yes</v>
      </c>
      <c r="M30" s="134"/>
      <c r="N30" s="164">
        <f>IF(I30=0,AVERAGE(G30,H30),MEDIAN(G30,H30,I30))</f>
        <v>42.5</v>
      </c>
      <c r="O30" s="154"/>
      <c r="P30" s="154"/>
      <c r="Q30" s="155"/>
      <c r="R30" s="155" t="str">
        <f t="shared" si="3"/>
        <v>Thigh middle girth</v>
      </c>
      <c r="S30" s="165"/>
      <c r="T30" s="165"/>
      <c r="U30" s="180">
        <f>+N30</f>
        <v>42.5</v>
      </c>
      <c r="V30" s="143" t="s">
        <v>26</v>
      </c>
      <c r="W30" s="32">
        <f>1/4.56*(+U30*((170.18/U$14)^1)-53.2)</f>
        <v>-1.9952797389815995</v>
      </c>
      <c r="X30" s="181"/>
      <c r="Y30" s="143"/>
      <c r="Z30" s="145"/>
      <c r="AA30" s="145"/>
    </row>
    <row r="31" spans="1:27" ht="18" customHeight="1">
      <c r="B31" s="190" t="str">
        <f>IF(Info!D34,"Corrected thigh girth","PR Muslo corregido")</f>
        <v>Corrected thigh girth</v>
      </c>
      <c r="C31" s="191"/>
      <c r="D31" s="191"/>
      <c r="E31" s="192"/>
      <c r="F31" s="193"/>
      <c r="G31" s="261"/>
      <c r="H31" s="79"/>
      <c r="I31" s="79"/>
      <c r="J31" s="194"/>
      <c r="K31" s="195"/>
      <c r="L31" s="196"/>
      <c r="M31" s="194"/>
      <c r="N31" s="197"/>
      <c r="O31" s="154"/>
      <c r="P31" s="154"/>
      <c r="Q31" s="155"/>
      <c r="R31" s="155" t="str">
        <f t="shared" si="3"/>
        <v>Corrected thigh girth</v>
      </c>
      <c r="S31" s="165"/>
      <c r="T31" s="165"/>
      <c r="U31" s="180">
        <f>+U30-(PI()*U23/10)</f>
        <v>38.415929550333267</v>
      </c>
      <c r="V31" s="143" t="s">
        <v>26</v>
      </c>
      <c r="W31" s="32">
        <f>1/3.59*(+U31*((170.18/U$14)^1)-47.34)</f>
        <v>-2.0825754282293025</v>
      </c>
      <c r="X31" s="181"/>
      <c r="Y31" s="143"/>
      <c r="Z31" s="145"/>
      <c r="AA31" s="145"/>
    </row>
    <row r="32" spans="1:27" ht="18" customHeight="1">
      <c r="B32" s="161" t="str">
        <f>IF(Info!D34,"Calf girth","PR Pierna")</f>
        <v>Calf girth</v>
      </c>
      <c r="C32" s="116"/>
      <c r="D32" s="116"/>
      <c r="E32" s="122"/>
      <c r="F32" s="110"/>
      <c r="G32" s="259">
        <v>5.5</v>
      </c>
      <c r="H32" s="85"/>
      <c r="I32" s="85"/>
      <c r="J32" s="134"/>
      <c r="K32" s="182">
        <f t="shared" si="5"/>
        <v>-1</v>
      </c>
      <c r="L32" s="163" t="str">
        <f>IF(ABS(K32)&gt;1%,"Yes","No")</f>
        <v>Yes</v>
      </c>
      <c r="M32" s="134"/>
      <c r="N32" s="164">
        <f>IF(I32=0,AVERAGE(G32,H32),MEDIAN(G32,H32,I32))</f>
        <v>5.5</v>
      </c>
      <c r="O32" s="154"/>
      <c r="P32" s="154"/>
      <c r="Q32" s="155"/>
      <c r="R32" s="155" t="str">
        <f t="shared" si="3"/>
        <v>Calf girth</v>
      </c>
      <c r="S32" s="165"/>
      <c r="T32" s="165"/>
      <c r="U32" s="201">
        <f>+N32</f>
        <v>5.5</v>
      </c>
      <c r="V32" s="143" t="s">
        <v>26</v>
      </c>
      <c r="W32" s="32">
        <f>1/2.3*(+U32*((170.18/U$14)^1)-35.25)</f>
        <v>-12.844671261930012</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3.7721240405256138</v>
      </c>
      <c r="V33" s="173" t="s">
        <v>26</v>
      </c>
      <c r="W33" s="33">
        <f>1/1.97*(+U33*((170.18/U$14)^1)-30.22)</f>
        <v>-13.353163088966665</v>
      </c>
      <c r="X33" s="172"/>
      <c r="Y33" s="173"/>
      <c r="Z33" s="174"/>
      <c r="AA33" s="145"/>
    </row>
    <row r="34" spans="1:27" ht="18" customHeight="1" thickBot="1">
      <c r="B34" s="161" t="str">
        <f>IF(Info!D34,"Humerus breadth","D Húmero")</f>
        <v>Humerus breadth</v>
      </c>
      <c r="C34" s="116"/>
      <c r="D34" s="116"/>
      <c r="E34" s="122"/>
      <c r="F34" s="110"/>
      <c r="G34" s="87">
        <v>5.6</v>
      </c>
      <c r="H34" s="87"/>
      <c r="I34" s="87"/>
      <c r="J34" s="134"/>
      <c r="K34" s="151">
        <f t="shared" si="5"/>
        <v>-1</v>
      </c>
      <c r="L34" s="209" t="str">
        <f>IF(ABS(K34)&gt;1%,"Yes","No")</f>
        <v>Yes</v>
      </c>
      <c r="M34" s="134"/>
      <c r="N34" s="210">
        <f>IF(I34=0,AVERAGE(G34,H34),MEDIAN(G34,H34,I34))</f>
        <v>5.6</v>
      </c>
      <c r="O34" s="154"/>
      <c r="P34" s="154"/>
      <c r="Q34" s="155"/>
      <c r="R34" s="155" t="str">
        <f t="shared" si="3"/>
        <v>Humerus breadth</v>
      </c>
      <c r="S34" s="165"/>
      <c r="T34" s="165"/>
      <c r="U34" s="180">
        <f>+N34</f>
        <v>5.6</v>
      </c>
      <c r="V34" s="143" t="s">
        <v>26</v>
      </c>
      <c r="W34" s="32">
        <f>1/0.35*(+U34*((170.18/U$14)^1)-6.48)</f>
        <v>-1.9113588850174221</v>
      </c>
      <c r="X34" s="181"/>
      <c r="Y34" s="143"/>
      <c r="Z34" s="145"/>
      <c r="AA34" s="145"/>
    </row>
    <row r="35" spans="1:27" ht="18" customHeight="1">
      <c r="B35" s="161" t="str">
        <f>IF(Info!D34,"Bi-styloid breadth","D Biestiloideo")</f>
        <v>Bi-styloid breadth</v>
      </c>
      <c r="C35" s="116"/>
      <c r="D35" s="116"/>
      <c r="E35" s="122"/>
      <c r="F35" s="110"/>
      <c r="G35" s="91">
        <v>4.5</v>
      </c>
      <c r="H35" s="91"/>
      <c r="I35" s="91"/>
      <c r="J35" s="134"/>
      <c r="K35" s="151">
        <f>+(H35-G35)/(AVERAGE(G35:H35))</f>
        <v>-1</v>
      </c>
      <c r="L35" s="209" t="str">
        <f>IF(ABS(K35)&gt;1%,"Yes","No")</f>
        <v>Yes</v>
      </c>
      <c r="M35" s="134"/>
      <c r="N35" s="210">
        <f>IF(I35=0,AVERAGE(G35,H35),MEDIAN(G35,H35,I35))</f>
        <v>4.5</v>
      </c>
      <c r="O35" s="154"/>
      <c r="P35" s="154"/>
      <c r="Q35" s="155"/>
      <c r="R35" s="155" t="str">
        <f t="shared" si="3"/>
        <v>Bi-styloid breadth</v>
      </c>
      <c r="S35" s="165"/>
      <c r="T35" s="165"/>
      <c r="U35" s="180">
        <f>+N35</f>
        <v>4.5</v>
      </c>
      <c r="V35" s="143" t="s">
        <v>26</v>
      </c>
      <c r="W35" s="32">
        <f>1/0.28*(+U35*((170.18/U$14)^1)-5.21)</f>
        <v>-1.9300958188153297</v>
      </c>
      <c r="X35" s="181"/>
      <c r="Y35" s="143"/>
      <c r="Z35" s="145"/>
      <c r="AA35" s="145"/>
    </row>
    <row r="36" spans="1:27" ht="18" customHeight="1" thickBot="1">
      <c r="B36" s="183" t="str">
        <f>IF(Info!D34,"Femur breadth","D Fémur")</f>
        <v>Femur breadth</v>
      </c>
      <c r="C36" s="184"/>
      <c r="D36" s="184"/>
      <c r="E36" s="185"/>
      <c r="F36" s="186"/>
      <c r="G36" s="260">
        <v>8.5</v>
      </c>
      <c r="H36" s="86"/>
      <c r="I36" s="86"/>
      <c r="J36" s="187"/>
      <c r="K36" s="182">
        <f>+(H36-G36)/(AVERAGE(G36:H36))</f>
        <v>-1</v>
      </c>
      <c r="L36" s="188" t="str">
        <f>IF(ABS(K36)&gt;1%,"Yes","No")</f>
        <v>Yes</v>
      </c>
      <c r="M36" s="187"/>
      <c r="N36" s="189">
        <f>IF(I36=0,AVERAGE(G36,H36),MEDIAN(G36,H36,I36))</f>
        <v>8.5</v>
      </c>
      <c r="O36" s="154"/>
      <c r="P36" s="154"/>
      <c r="Q36" s="155"/>
      <c r="R36" s="211" t="str">
        <f t="shared" si="3"/>
        <v>Femur breadth</v>
      </c>
      <c r="S36" s="212"/>
      <c r="T36" s="212"/>
      <c r="U36" s="213">
        <f>+N36</f>
        <v>8.5</v>
      </c>
      <c r="V36" s="214" t="s">
        <v>26</v>
      </c>
      <c r="W36" s="215">
        <f>1/0.48*(+U36*((170.18/U$14)^1)-9.52)</f>
        <v>-1.4576981707317027</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24"/>
      <c r="L40" s="225"/>
      <c r="M40" s="225"/>
      <c r="N40" s="224"/>
      <c r="Q40" s="113"/>
      <c r="R40" s="113"/>
      <c r="S40" s="226" t="str">
        <f>'3'!S40</f>
        <v>Somatotype</v>
      </c>
      <c r="T40" s="227" t="str">
        <f>IF(Info!D34,"Endomorphy","Endomorfia")</f>
        <v>Endomorphy</v>
      </c>
      <c r="U40" s="201">
        <f>-0.7182+0.1451*((U17+U18+U21)*(170.18/U14))-0.00068*(((U17+U18+U21)*(170.18/U14))^2)+0.0000014*(((U17+U18+U21)*(170.18/U14))^3)</f>
        <v>1.8266083989154023</v>
      </c>
      <c r="V40" s="124"/>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24"/>
      <c r="L41" s="225"/>
      <c r="M41" s="225"/>
      <c r="N41" s="224"/>
      <c r="O41" s="104"/>
      <c r="P41" s="104"/>
      <c r="Q41" s="113"/>
      <c r="R41" s="113"/>
      <c r="S41" s="227" t="str">
        <f>'3'!S41</f>
        <v>(Heath-Carter)</v>
      </c>
      <c r="T41" s="227" t="str">
        <f>IF(Info!D34,"Mesomorphy","Mesomorfia")</f>
        <v>Mesomorphy</v>
      </c>
      <c r="U41" s="201">
        <f>(0.858*U34)+(0.601*U36)+(0.188*(U27-(U17/10)))+(0.161*(U32-(U24/10)))-(0.131*U14)+4.5</f>
        <v>-1.7429500000000022</v>
      </c>
      <c r="V41" s="126"/>
      <c r="W41" s="228"/>
      <c r="X41" s="34"/>
      <c r="Y41" s="126"/>
      <c r="Z41" s="115"/>
      <c r="AA41" s="115"/>
    </row>
    <row r="42" spans="1:27" s="109" customFormat="1">
      <c r="B42" s="223" t="str">
        <f t="shared" si="7"/>
        <v>Sitting height</v>
      </c>
      <c r="C42" s="224"/>
      <c r="D42" s="223">
        <f t="shared" si="8"/>
        <v>0</v>
      </c>
      <c r="E42" s="223">
        <f t="shared" si="9"/>
        <v>0</v>
      </c>
      <c r="F42" s="223">
        <f t="shared" si="10"/>
        <v>1</v>
      </c>
      <c r="G42" s="223">
        <f t="shared" si="11"/>
        <v>0</v>
      </c>
      <c r="H42" s="222">
        <f t="shared" si="12"/>
        <v>1</v>
      </c>
      <c r="I42" s="224">
        <f t="shared" si="13"/>
        <v>0</v>
      </c>
      <c r="J42" s="224">
        <f t="shared" si="13"/>
        <v>1</v>
      </c>
      <c r="K42" s="224"/>
      <c r="L42" s="225"/>
      <c r="M42" s="225"/>
      <c r="N42" s="224"/>
      <c r="O42" s="104"/>
      <c r="P42" s="104"/>
      <c r="Q42" s="113"/>
      <c r="R42" s="113"/>
      <c r="S42" s="124"/>
      <c r="T42" s="227" t="str">
        <f>IF(Info!D34,"Ectomorphy","Ectomorfia")</f>
        <v>Ectomorphy</v>
      </c>
      <c r="U42" s="201">
        <f>IF(V42&gt;40.75,((0.732*V42)-28.58),IF(V42&gt;38.28,((0.463*V42)-17.63),0.1))</f>
        <v>4.1595437334374168</v>
      </c>
      <c r="V42" s="224">
        <f>U14/(U13^(1/3))</f>
        <v>44.726152641307941</v>
      </c>
      <c r="W42" s="228"/>
      <c r="X42" s="34"/>
      <c r="Y42" s="126"/>
      <c r="Z42" s="115"/>
      <c r="AA42" s="115"/>
    </row>
    <row r="43" spans="1:27" s="109" customFormat="1">
      <c r="B43" s="223" t="str">
        <f t="shared" si="7"/>
        <v>Arm Span</v>
      </c>
      <c r="C43" s="224"/>
      <c r="D43" s="223">
        <f t="shared" si="8"/>
        <v>0</v>
      </c>
      <c r="E43" s="223">
        <f t="shared" si="9"/>
        <v>0</v>
      </c>
      <c r="F43" s="223">
        <f t="shared" si="10"/>
        <v>1</v>
      </c>
      <c r="G43" s="223">
        <f t="shared" si="11"/>
        <v>0</v>
      </c>
      <c r="H43" s="222">
        <f t="shared" si="12"/>
        <v>1</v>
      </c>
      <c r="I43" s="224">
        <f t="shared" si="13"/>
        <v>0</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0</v>
      </c>
      <c r="F44" s="223">
        <f t="shared" si="10"/>
        <v>1</v>
      </c>
      <c r="G44" s="223">
        <f t="shared" si="11"/>
        <v>0</v>
      </c>
      <c r="H44" s="222">
        <f t="shared" si="12"/>
        <v>1</v>
      </c>
      <c r="I44" s="224">
        <f t="shared" si="13"/>
        <v>0</v>
      </c>
      <c r="J44" s="224">
        <f t="shared" si="13"/>
        <v>1</v>
      </c>
      <c r="K44" s="224"/>
      <c r="L44" s="225"/>
      <c r="M44" s="225"/>
      <c r="N44" s="224"/>
      <c r="Q44" s="113"/>
      <c r="R44" s="113"/>
      <c r="S44" s="226" t="str">
        <f>'3'!S44</f>
        <v>Body Mass Index (MBI)</v>
      </c>
      <c r="T44" s="229"/>
      <c r="U44" s="201">
        <f>+U13/(U14/100)^2</f>
        <v>18.329863176680551</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24"/>
      <c r="L46" s="225"/>
      <c r="M46" s="225"/>
      <c r="N46" s="224"/>
      <c r="O46" s="104"/>
      <c r="P46" s="104"/>
      <c r="Q46" s="113"/>
      <c r="R46" s="113"/>
      <c r="S46" s="226" t="str">
        <f>'3'!S46</f>
        <v>Waist/Hip ratio</v>
      </c>
      <c r="T46" s="124"/>
      <c r="U46" s="232">
        <f>+U28/U29</f>
        <v>0.77710843373493976</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24"/>
      <c r="L48" s="224"/>
      <c r="M48" s="224"/>
      <c r="N48" s="224"/>
      <c r="O48" s="104"/>
      <c r="P48" s="104"/>
      <c r="Q48" s="113"/>
      <c r="R48" s="113"/>
      <c r="S48" s="226" t="str">
        <f>'3'!S48</f>
        <v>Sum of 6 skinfolds</v>
      </c>
      <c r="T48" s="104"/>
      <c r="U48" s="235">
        <f>SUM(U17:U18,U21:U24)</f>
        <v>45</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24"/>
      <c r="L49" s="224"/>
      <c r="M49" s="224"/>
      <c r="N49" s="224"/>
      <c r="Q49" s="236"/>
      <c r="R49" s="236"/>
      <c r="S49" s="226" t="str">
        <f>'3'!S49</f>
        <v>Sum of 8 skinfolds</v>
      </c>
      <c r="T49" s="104"/>
      <c r="U49" s="235">
        <f>SUM(U17:U24)</f>
        <v>54.5</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24"/>
      <c r="L51" s="224"/>
      <c r="M51" s="224"/>
      <c r="N51" s="224"/>
      <c r="Q51" s="113"/>
      <c r="R51" s="113"/>
      <c r="S51" s="226" t="str">
        <f>'3'!S51</f>
        <v>Fat percentage</v>
      </c>
      <c r="T51" s="238"/>
      <c r="U51" s="35">
        <f>IF(U8=1,0.735*(U17+U24)+1,0.61*(U17+U24)+5.1)</f>
        <v>13.945</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24"/>
      <c r="L52" s="224"/>
      <c r="M52" s="224"/>
      <c r="N52" s="224"/>
      <c r="Q52" s="113"/>
      <c r="R52" s="113"/>
      <c r="U52" s="35">
        <f>IF(U8=1,0.153*(U17+U18+U21+U22)+5.783,0.213*(U17+U18+U21+U22)+7.9)</f>
        <v>13.544499999999999</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10.545999999999999</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24"/>
      <c r="L54" s="224"/>
      <c r="M54" s="224"/>
      <c r="N54" s="224"/>
      <c r="Q54" s="113"/>
      <c r="R54" s="113"/>
      <c r="S54" s="226" t="str">
        <f>'3'!S54</f>
        <v>Muscle percentage</v>
      </c>
      <c r="U54" s="35">
        <f>(U14/100*(0.00744*U26^2+0.00088*U31^2+0.00441*U33^2)+(2.4*(IF(U8=1,1,0)))-0.048*((U10-U11)/365.25)+IF(U7="1",-2,IF(U7="2",1.1,0))+7.8)*100/U13</f>
        <v>28.759511633458736</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24"/>
      <c r="L55" s="224">
        <f>COUNTIF(L13:L36,"yes")</f>
        <v>21</v>
      </c>
      <c r="M55" s="224"/>
      <c r="N55" s="224"/>
      <c r="Q55" s="113"/>
      <c r="R55" s="113"/>
      <c r="U55" s="35">
        <f>(U14/100*((0.0064*(U26^2))+(0.0032*(U31^2))+(0.0015*(U33^2)))+(2.56*IF(U8=1,1,0))+(0.136*(U10-U11)/365.25))*100/U13</f>
        <v>32.933955980190198</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24"/>
      <c r="L56" s="224"/>
      <c r="M56" s="224"/>
      <c r="N56" s="224"/>
      <c r="Q56" s="113"/>
      <c r="R56" s="113"/>
      <c r="S56" s="226" t="str">
        <f>'3'!S56</f>
        <v>Bone percentage</v>
      </c>
      <c r="U56" s="35">
        <f>(3.02*(((U14/100)^2)*(U35/100)*(U36/100)*400)^0.712)*100/U13</f>
        <v>16.772506236919497</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0</v>
      </c>
      <c r="F61" s="223">
        <f t="shared" si="10"/>
        <v>1</v>
      </c>
      <c r="G61" s="223">
        <f t="shared" si="11"/>
        <v>0</v>
      </c>
      <c r="H61" s="222">
        <f t="shared" si="12"/>
        <v>1</v>
      </c>
      <c r="I61" s="224">
        <f t="shared" si="14"/>
        <v>0</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0</v>
      </c>
      <c r="F62" s="223">
        <f t="shared" si="10"/>
        <v>1</v>
      </c>
      <c r="G62" s="223">
        <f t="shared" si="11"/>
        <v>0</v>
      </c>
      <c r="H62" s="222">
        <f t="shared" si="12"/>
        <v>1</v>
      </c>
      <c r="I62" s="224">
        <f t="shared" si="14"/>
        <v>0</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0</v>
      </c>
      <c r="E64" s="223">
        <f t="shared" si="15"/>
        <v>0</v>
      </c>
      <c r="F64" s="223">
        <f t="shared" si="15"/>
        <v>21</v>
      </c>
      <c r="G64" s="223">
        <f t="shared" si="15"/>
        <v>0</v>
      </c>
      <c r="H64" s="223">
        <f t="shared" si="15"/>
        <v>21</v>
      </c>
      <c r="I64" s="224">
        <f t="shared" si="15"/>
        <v>0</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49.3</v>
      </c>
      <c r="H67" s="245">
        <f t="shared" si="16"/>
        <v>0</v>
      </c>
      <c r="I67" s="245">
        <f t="shared" si="16"/>
        <v>0</v>
      </c>
      <c r="J67" s="224">
        <f>ABS(G67-H67)</f>
        <v>49.3</v>
      </c>
      <c r="K67" s="224">
        <f>ABS(I67-G67)</f>
        <v>49.3</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164</v>
      </c>
      <c r="H68" s="245">
        <f t="shared" si="16"/>
        <v>0</v>
      </c>
      <c r="I68" s="245">
        <f t="shared" si="16"/>
        <v>0</v>
      </c>
      <c r="J68" s="224">
        <f t="shared" ref="J68:J87" si="18">ABS(G68-H68)</f>
        <v>164</v>
      </c>
      <c r="K68" s="224">
        <f t="shared" ref="K68:K87" si="19">ABS(I68-G68)</f>
        <v>164</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81</v>
      </c>
      <c r="H69" s="245">
        <f t="shared" si="16"/>
        <v>0</v>
      </c>
      <c r="I69" s="245">
        <f t="shared" si="16"/>
        <v>0</v>
      </c>
      <c r="J69" s="224">
        <f t="shared" si="18"/>
        <v>81</v>
      </c>
      <c r="K69" s="224">
        <f t="shared" si="19"/>
        <v>81</v>
      </c>
      <c r="L69" s="224">
        <f t="shared" si="20"/>
        <v>0</v>
      </c>
      <c r="M69" s="246">
        <f t="shared" si="21"/>
        <v>0</v>
      </c>
      <c r="N69" s="246">
        <f t="shared" si="22"/>
        <v>0</v>
      </c>
    </row>
    <row r="70" spans="1:22" s="247" customFormat="1">
      <c r="B70" s="269" t="str">
        <f t="shared" si="17"/>
        <v>Arm Span</v>
      </c>
      <c r="C70" s="269"/>
      <c r="D70" s="269"/>
      <c r="E70" s="269"/>
      <c r="F70" s="269"/>
      <c r="G70" s="245">
        <f t="shared" si="16"/>
        <v>158.5</v>
      </c>
      <c r="H70" s="245">
        <f t="shared" si="16"/>
        <v>0</v>
      </c>
      <c r="I70" s="245">
        <f t="shared" si="16"/>
        <v>0</v>
      </c>
      <c r="J70" s="224">
        <f t="shared" si="18"/>
        <v>158.5</v>
      </c>
      <c r="K70" s="224">
        <f t="shared" si="19"/>
        <v>158.5</v>
      </c>
      <c r="L70" s="224">
        <f t="shared" si="20"/>
        <v>0</v>
      </c>
      <c r="M70" s="246">
        <f t="shared" si="21"/>
        <v>0</v>
      </c>
      <c r="N70" s="246">
        <f t="shared" si="22"/>
        <v>0</v>
      </c>
    </row>
    <row r="71" spans="1:22" s="247" customFormat="1">
      <c r="B71" s="269" t="str">
        <f t="shared" si="17"/>
        <v>Triceps sf</v>
      </c>
      <c r="C71" s="269"/>
      <c r="D71" s="269"/>
      <c r="E71" s="269"/>
      <c r="F71" s="269"/>
      <c r="G71" s="245">
        <f t="shared" si="16"/>
        <v>9</v>
      </c>
      <c r="H71" s="245">
        <f t="shared" si="16"/>
        <v>0</v>
      </c>
      <c r="I71" s="245">
        <f t="shared" si="16"/>
        <v>0</v>
      </c>
      <c r="J71" s="224">
        <f t="shared" si="18"/>
        <v>9</v>
      </c>
      <c r="K71" s="224">
        <f t="shared" si="19"/>
        <v>9</v>
      </c>
      <c r="L71" s="224">
        <f t="shared" si="20"/>
        <v>0</v>
      </c>
      <c r="M71" s="246">
        <f t="shared" si="21"/>
        <v>0</v>
      </c>
      <c r="N71" s="246">
        <f t="shared" si="22"/>
        <v>0</v>
      </c>
    </row>
    <row r="72" spans="1:22" s="247" customFormat="1">
      <c r="B72" s="269" t="str">
        <f t="shared" si="17"/>
        <v>Subscapular sf</v>
      </c>
      <c r="C72" s="269"/>
      <c r="D72" s="269"/>
      <c r="E72" s="269"/>
      <c r="F72" s="269"/>
      <c r="G72" s="245">
        <f t="shared" si="16"/>
        <v>5</v>
      </c>
      <c r="H72" s="245">
        <f t="shared" si="16"/>
        <v>0</v>
      </c>
      <c r="I72" s="245">
        <f t="shared" si="16"/>
        <v>0</v>
      </c>
      <c r="J72" s="224">
        <f t="shared" si="18"/>
        <v>5</v>
      </c>
      <c r="K72" s="224">
        <f t="shared" si="19"/>
        <v>5</v>
      </c>
      <c r="L72" s="224">
        <f t="shared" si="20"/>
        <v>0</v>
      </c>
      <c r="M72" s="246">
        <f t="shared" si="21"/>
        <v>0</v>
      </c>
      <c r="N72" s="246">
        <f t="shared" si="22"/>
        <v>0</v>
      </c>
    </row>
    <row r="73" spans="1:22" s="247" customFormat="1">
      <c r="B73" s="269" t="str">
        <f t="shared" si="17"/>
        <v>Biceps sf</v>
      </c>
      <c r="C73" s="269"/>
      <c r="D73" s="269"/>
      <c r="E73" s="269"/>
      <c r="F73" s="269"/>
      <c r="G73" s="245">
        <f t="shared" si="16"/>
        <v>3.5</v>
      </c>
      <c r="H73" s="245">
        <f t="shared" si="16"/>
        <v>0</v>
      </c>
      <c r="I73" s="245">
        <f t="shared" si="16"/>
        <v>0</v>
      </c>
      <c r="J73" s="224">
        <f t="shared" si="18"/>
        <v>3.5</v>
      </c>
      <c r="K73" s="224">
        <f t="shared" si="19"/>
        <v>3.5</v>
      </c>
      <c r="L73" s="224">
        <f t="shared" si="20"/>
        <v>0</v>
      </c>
      <c r="M73" s="246">
        <f t="shared" si="21"/>
        <v>0</v>
      </c>
      <c r="N73" s="246">
        <f t="shared" si="22"/>
        <v>0</v>
      </c>
    </row>
    <row r="74" spans="1:22" s="247" customFormat="1">
      <c r="B74" s="269" t="str">
        <f t="shared" si="17"/>
        <v>Iliac crest sf</v>
      </c>
      <c r="C74" s="269"/>
      <c r="D74" s="269"/>
      <c r="E74" s="269"/>
      <c r="F74" s="269"/>
      <c r="G74" s="245">
        <f t="shared" si="16"/>
        <v>6</v>
      </c>
      <c r="H74" s="245">
        <f t="shared" si="16"/>
        <v>0</v>
      </c>
      <c r="I74" s="245">
        <f t="shared" si="16"/>
        <v>0</v>
      </c>
      <c r="J74" s="224">
        <f t="shared" si="18"/>
        <v>6</v>
      </c>
      <c r="K74" s="224">
        <f t="shared" si="19"/>
        <v>6</v>
      </c>
      <c r="L74" s="224">
        <f t="shared" si="20"/>
        <v>0</v>
      </c>
      <c r="M74" s="246">
        <f t="shared" si="21"/>
        <v>0</v>
      </c>
      <c r="N74" s="246">
        <f t="shared" si="22"/>
        <v>0</v>
      </c>
    </row>
    <row r="75" spans="1:22" s="247" customFormat="1">
      <c r="B75" s="269" t="str">
        <f t="shared" si="17"/>
        <v>Supraspinale sf</v>
      </c>
      <c r="C75" s="269"/>
      <c r="D75" s="269"/>
      <c r="E75" s="269"/>
      <c r="F75" s="269"/>
      <c r="G75" s="245">
        <f t="shared" si="16"/>
        <v>4.5</v>
      </c>
      <c r="H75" s="245">
        <f t="shared" si="16"/>
        <v>0</v>
      </c>
      <c r="I75" s="245">
        <f t="shared" si="16"/>
        <v>0</v>
      </c>
      <c r="J75" s="224">
        <f t="shared" si="18"/>
        <v>4.5</v>
      </c>
      <c r="K75" s="224">
        <f t="shared" si="19"/>
        <v>4.5</v>
      </c>
      <c r="L75" s="224">
        <f t="shared" si="20"/>
        <v>0</v>
      </c>
      <c r="M75" s="246">
        <f t="shared" si="21"/>
        <v>0</v>
      </c>
      <c r="N75" s="246">
        <f t="shared" si="22"/>
        <v>0</v>
      </c>
    </row>
    <row r="76" spans="1:22" s="247" customFormat="1">
      <c r="B76" s="269" t="str">
        <f t="shared" si="17"/>
        <v>Abdominal sf</v>
      </c>
      <c r="C76" s="269"/>
      <c r="D76" s="269"/>
      <c r="E76" s="269"/>
      <c r="F76" s="269"/>
      <c r="G76" s="245">
        <f t="shared" si="16"/>
        <v>8</v>
      </c>
      <c r="H76" s="245">
        <f t="shared" si="16"/>
        <v>0</v>
      </c>
      <c r="I76" s="245">
        <f t="shared" si="16"/>
        <v>0</v>
      </c>
      <c r="J76" s="224">
        <f t="shared" si="18"/>
        <v>8</v>
      </c>
      <c r="K76" s="224">
        <f t="shared" si="19"/>
        <v>8</v>
      </c>
      <c r="L76" s="224">
        <f t="shared" si="20"/>
        <v>0</v>
      </c>
      <c r="M76" s="246">
        <f t="shared" si="21"/>
        <v>0</v>
      </c>
      <c r="N76" s="246">
        <f t="shared" si="22"/>
        <v>0</v>
      </c>
    </row>
    <row r="77" spans="1:22" s="247" customFormat="1">
      <c r="A77" s="244"/>
      <c r="B77" s="269" t="str">
        <f t="shared" si="17"/>
        <v>Thigh sf</v>
      </c>
      <c r="C77" s="269"/>
      <c r="D77" s="269"/>
      <c r="E77" s="269"/>
      <c r="F77" s="269"/>
      <c r="G77" s="245">
        <f t="shared" si="16"/>
        <v>13</v>
      </c>
      <c r="H77" s="245">
        <f t="shared" si="16"/>
        <v>0</v>
      </c>
      <c r="I77" s="245">
        <f t="shared" si="16"/>
        <v>0</v>
      </c>
      <c r="J77" s="224">
        <f t="shared" si="18"/>
        <v>13</v>
      </c>
      <c r="K77" s="224">
        <f t="shared" si="19"/>
        <v>13</v>
      </c>
      <c r="L77" s="224">
        <f t="shared" si="20"/>
        <v>0</v>
      </c>
      <c r="M77" s="246">
        <f t="shared" si="21"/>
        <v>0</v>
      </c>
      <c r="N77" s="246">
        <f t="shared" si="22"/>
        <v>0</v>
      </c>
    </row>
    <row r="78" spans="1:22" s="247" customFormat="1">
      <c r="B78" s="269" t="str">
        <f t="shared" si="17"/>
        <v>Calf sf</v>
      </c>
      <c r="C78" s="269"/>
      <c r="D78" s="269"/>
      <c r="E78" s="269"/>
      <c r="F78" s="269"/>
      <c r="G78" s="245">
        <f t="shared" si="16"/>
        <v>5.5</v>
      </c>
      <c r="H78" s="245">
        <f t="shared" si="16"/>
        <v>0</v>
      </c>
      <c r="I78" s="245">
        <f t="shared" si="16"/>
        <v>0</v>
      </c>
      <c r="J78" s="224">
        <f t="shared" si="18"/>
        <v>5.5</v>
      </c>
      <c r="K78" s="224">
        <f t="shared" si="19"/>
        <v>5.5</v>
      </c>
      <c r="L78" s="224">
        <f t="shared" si="20"/>
        <v>0</v>
      </c>
      <c r="M78" s="246">
        <f t="shared" si="21"/>
        <v>0</v>
      </c>
      <c r="N78" s="246">
        <f t="shared" si="22"/>
        <v>0</v>
      </c>
    </row>
    <row r="79" spans="1:22" s="247" customFormat="1">
      <c r="B79" s="269" t="str">
        <f t="shared" si="17"/>
        <v>Arm girth relaxed</v>
      </c>
      <c r="C79" s="269"/>
      <c r="D79" s="269"/>
      <c r="E79" s="269"/>
      <c r="F79" s="269"/>
      <c r="G79" s="245">
        <f t="shared" si="16"/>
        <v>24</v>
      </c>
      <c r="H79" s="245">
        <f t="shared" si="16"/>
        <v>0</v>
      </c>
      <c r="I79" s="245">
        <f t="shared" si="16"/>
        <v>0</v>
      </c>
      <c r="J79" s="224">
        <f t="shared" si="18"/>
        <v>24</v>
      </c>
      <c r="K79" s="224">
        <f t="shared" si="19"/>
        <v>24</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25</v>
      </c>
      <c r="H80" s="245">
        <f t="shared" si="23"/>
        <v>0</v>
      </c>
      <c r="I80" s="245">
        <f t="shared" si="23"/>
        <v>0</v>
      </c>
      <c r="J80" s="224">
        <f t="shared" si="18"/>
        <v>25</v>
      </c>
      <c r="K80" s="224">
        <f t="shared" si="19"/>
        <v>25</v>
      </c>
      <c r="L80" s="224">
        <f t="shared" si="20"/>
        <v>0</v>
      </c>
      <c r="M80" s="246">
        <f t="shared" si="21"/>
        <v>0</v>
      </c>
      <c r="N80" s="246">
        <f t="shared" si="22"/>
        <v>0</v>
      </c>
    </row>
    <row r="81" spans="1:14" s="247" customFormat="1">
      <c r="B81" s="269" t="str">
        <f>B28</f>
        <v>Waist girth</v>
      </c>
      <c r="C81" s="269"/>
      <c r="D81" s="269"/>
      <c r="E81" s="269"/>
      <c r="F81" s="269"/>
      <c r="G81" s="245">
        <f t="shared" si="23"/>
        <v>64.5</v>
      </c>
      <c r="H81" s="245">
        <f t="shared" si="23"/>
        <v>0</v>
      </c>
      <c r="I81" s="245">
        <f t="shared" si="23"/>
        <v>0</v>
      </c>
      <c r="J81" s="224">
        <f t="shared" si="18"/>
        <v>64.5</v>
      </c>
      <c r="K81" s="224">
        <f t="shared" si="19"/>
        <v>64.5</v>
      </c>
      <c r="L81" s="224">
        <f t="shared" si="20"/>
        <v>0</v>
      </c>
      <c r="M81" s="246">
        <f t="shared" si="21"/>
        <v>0</v>
      </c>
      <c r="N81" s="246">
        <f t="shared" si="22"/>
        <v>0</v>
      </c>
    </row>
    <row r="82" spans="1:14" s="247" customFormat="1">
      <c r="B82" s="269" t="str">
        <f>B29</f>
        <v>Hips girth</v>
      </c>
      <c r="C82" s="269"/>
      <c r="D82" s="269"/>
      <c r="E82" s="269"/>
      <c r="F82" s="269"/>
      <c r="G82" s="245">
        <f t="shared" si="23"/>
        <v>83</v>
      </c>
      <c r="H82" s="245">
        <f t="shared" si="23"/>
        <v>0</v>
      </c>
      <c r="I82" s="245">
        <f t="shared" si="23"/>
        <v>0</v>
      </c>
      <c r="J82" s="224">
        <f t="shared" si="18"/>
        <v>83</v>
      </c>
      <c r="K82" s="224">
        <f t="shared" si="19"/>
        <v>83</v>
      </c>
      <c r="L82" s="224">
        <f t="shared" si="20"/>
        <v>0</v>
      </c>
      <c r="M82" s="246">
        <f t="shared" si="21"/>
        <v>0</v>
      </c>
      <c r="N82" s="246">
        <f t="shared" si="22"/>
        <v>0</v>
      </c>
    </row>
    <row r="83" spans="1:14">
      <c r="A83" s="247"/>
      <c r="B83" s="269" t="str">
        <f>B30</f>
        <v>Thigh middle girth</v>
      </c>
      <c r="C83" s="269"/>
      <c r="D83" s="269"/>
      <c r="E83" s="269"/>
      <c r="F83" s="269"/>
      <c r="G83" s="245">
        <f t="shared" si="23"/>
        <v>42.5</v>
      </c>
      <c r="H83" s="245">
        <f t="shared" si="23"/>
        <v>0</v>
      </c>
      <c r="I83" s="245">
        <f t="shared" si="23"/>
        <v>0</v>
      </c>
      <c r="J83" s="224">
        <f t="shared" si="18"/>
        <v>42.5</v>
      </c>
      <c r="K83" s="224">
        <f t="shared" si="19"/>
        <v>42.5</v>
      </c>
      <c r="L83" s="224">
        <f t="shared" si="20"/>
        <v>0</v>
      </c>
      <c r="M83" s="246">
        <f t="shared" si="21"/>
        <v>0</v>
      </c>
      <c r="N83" s="246">
        <f t="shared" si="22"/>
        <v>0</v>
      </c>
    </row>
    <row r="84" spans="1:14">
      <c r="B84" s="269" t="str">
        <f>B32</f>
        <v>Calf girth</v>
      </c>
      <c r="C84" s="269"/>
      <c r="D84" s="269"/>
      <c r="E84" s="269"/>
      <c r="F84" s="269"/>
      <c r="G84" s="245">
        <f>+G32</f>
        <v>5.5</v>
      </c>
      <c r="H84" s="245">
        <f>+H32</f>
        <v>0</v>
      </c>
      <c r="I84" s="245">
        <f>+I32</f>
        <v>0</v>
      </c>
      <c r="J84" s="224">
        <f t="shared" si="18"/>
        <v>5.5</v>
      </c>
      <c r="K84" s="224">
        <f t="shared" si="19"/>
        <v>5.5</v>
      </c>
      <c r="L84" s="224">
        <f t="shared" si="20"/>
        <v>0</v>
      </c>
      <c r="M84" s="246">
        <f t="shared" si="21"/>
        <v>0</v>
      </c>
      <c r="N84" s="246">
        <f t="shared" si="22"/>
        <v>0</v>
      </c>
    </row>
    <row r="85" spans="1:14">
      <c r="B85" s="269" t="str">
        <f>B34</f>
        <v>Humerus breadth</v>
      </c>
      <c r="C85" s="269"/>
      <c r="D85" s="269"/>
      <c r="E85" s="269"/>
      <c r="F85" s="269"/>
      <c r="G85" s="245">
        <f t="shared" ref="G85:I87" si="24">+G34</f>
        <v>5.6</v>
      </c>
      <c r="H85" s="245">
        <f t="shared" si="24"/>
        <v>0</v>
      </c>
      <c r="I85" s="245">
        <f t="shared" si="24"/>
        <v>0</v>
      </c>
      <c r="J85" s="224">
        <f t="shared" si="18"/>
        <v>5.6</v>
      </c>
      <c r="K85" s="224">
        <f t="shared" si="19"/>
        <v>5.6</v>
      </c>
      <c r="L85" s="224">
        <f t="shared" si="20"/>
        <v>0</v>
      </c>
      <c r="M85" s="246">
        <f t="shared" si="21"/>
        <v>0</v>
      </c>
      <c r="N85" s="246">
        <f t="shared" si="22"/>
        <v>0</v>
      </c>
    </row>
    <row r="86" spans="1:14">
      <c r="B86" s="269" t="str">
        <f>B35</f>
        <v>Bi-styloid breadth</v>
      </c>
      <c r="C86" s="269"/>
      <c r="D86" s="269"/>
      <c r="E86" s="269"/>
      <c r="F86" s="269"/>
      <c r="G86" s="245">
        <f t="shared" si="24"/>
        <v>4.5</v>
      </c>
      <c r="H86" s="245">
        <f t="shared" si="24"/>
        <v>0</v>
      </c>
      <c r="I86" s="245">
        <f t="shared" si="24"/>
        <v>0</v>
      </c>
      <c r="J86" s="224">
        <f t="shared" si="18"/>
        <v>4.5</v>
      </c>
      <c r="K86" s="224">
        <f t="shared" si="19"/>
        <v>4.5</v>
      </c>
      <c r="L86" s="224">
        <f t="shared" si="20"/>
        <v>0</v>
      </c>
      <c r="M86" s="246">
        <f t="shared" si="21"/>
        <v>0</v>
      </c>
      <c r="N86" s="246">
        <f t="shared" si="22"/>
        <v>0</v>
      </c>
    </row>
    <row r="87" spans="1:14">
      <c r="B87" s="269" t="str">
        <f>B36</f>
        <v>Femur breadth</v>
      </c>
      <c r="C87" s="269"/>
      <c r="D87" s="269"/>
      <c r="E87" s="269"/>
      <c r="F87" s="269"/>
      <c r="G87" s="245">
        <f t="shared" si="24"/>
        <v>8.5</v>
      </c>
      <c r="H87" s="245">
        <f t="shared" si="24"/>
        <v>0</v>
      </c>
      <c r="I87" s="245">
        <f t="shared" si="24"/>
        <v>0</v>
      </c>
      <c r="J87" s="224">
        <f t="shared" si="18"/>
        <v>8.5</v>
      </c>
      <c r="K87" s="224">
        <f t="shared" si="19"/>
        <v>8.5</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1/Qo67zzsibEAlF2Ap7iRnWDpSCyZBIf6CQIK89mHb93jJY4BStrikAki9C9hkBBzXoCG5PBZKrb9Jy0AJ9XBw==" saltValue="79ZBubkH/IAY3KG+Bt9kqA=="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A91"/>
  <sheetViews>
    <sheetView topLeftCell="C10" zoomScaleNormal="75" zoomScaleSheetLayoutView="75" workbookViewId="0">
      <selection activeCell="H19" sqref="H19"/>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66</v>
      </c>
      <c r="H4" s="71"/>
      <c r="I4" s="72"/>
      <c r="J4" s="118"/>
      <c r="K4" s="118"/>
      <c r="L4" s="111"/>
      <c r="M4" s="111"/>
      <c r="N4" s="111"/>
      <c r="O4" s="104"/>
      <c r="P4" s="104"/>
      <c r="Q4" s="113"/>
      <c r="R4" s="105" t="str">
        <f t="shared" ref="R4:R11" si="0">+B4</f>
        <v>Name</v>
      </c>
      <c r="S4" s="119"/>
      <c r="T4" s="119"/>
      <c r="U4" s="120" t="str">
        <f t="shared" ref="U4:U11" si="1">+G4</f>
        <v>Oscar</v>
      </c>
      <c r="V4" s="107"/>
      <c r="W4" s="107"/>
      <c r="X4" s="121"/>
      <c r="Y4" s="107"/>
      <c r="Z4" s="108"/>
      <c r="AA4" s="115"/>
    </row>
    <row r="5" spans="1:27" s="109" customFormat="1">
      <c r="B5" s="116" t="str">
        <f>IF(Info!D34,"Surname","Apellidos")</f>
        <v>Surname</v>
      </c>
      <c r="C5" s="116"/>
      <c r="D5" s="116"/>
      <c r="E5" s="110"/>
      <c r="F5" s="112"/>
      <c r="G5" s="81" t="s">
        <v>67</v>
      </c>
      <c r="H5" s="73"/>
      <c r="I5" s="74"/>
      <c r="J5" s="122"/>
      <c r="K5" s="122"/>
      <c r="L5" s="122"/>
      <c r="M5" s="122"/>
      <c r="N5" s="123"/>
      <c r="O5" s="104"/>
      <c r="P5" s="104"/>
      <c r="Q5" s="113"/>
      <c r="R5" s="113" t="str">
        <f t="shared" si="0"/>
        <v>Surname</v>
      </c>
      <c r="S5" s="124"/>
      <c r="T5" s="124"/>
      <c r="U5" s="125" t="str">
        <f t="shared" si="1"/>
        <v>Rodriguez</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1</v>
      </c>
      <c r="H8" s="74"/>
      <c r="I8" s="77"/>
      <c r="J8" s="129"/>
      <c r="K8" s="129"/>
      <c r="L8" s="129"/>
      <c r="M8" s="129"/>
      <c r="N8" s="123"/>
      <c r="O8" s="104"/>
      <c r="P8" s="104"/>
      <c r="Q8" s="113"/>
      <c r="R8" s="113" t="str">
        <f t="shared" si="0"/>
        <v>Sex (male=1, female=2)</v>
      </c>
      <c r="S8" s="124"/>
      <c r="T8" s="124"/>
      <c r="U8" s="125">
        <f t="shared" si="1"/>
        <v>1</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44336</v>
      </c>
      <c r="H10" s="76"/>
      <c r="I10" s="76"/>
      <c r="J10" s="111"/>
      <c r="K10" s="111"/>
      <c r="L10" s="111"/>
      <c r="M10" s="111"/>
      <c r="N10" s="122"/>
      <c r="O10" s="104"/>
      <c r="P10" s="104"/>
      <c r="Q10" s="113"/>
      <c r="R10" s="113" t="str">
        <f t="shared" si="0"/>
        <v>Date of Measurement</v>
      </c>
      <c r="S10" s="124"/>
      <c r="T10" s="124"/>
      <c r="U10" s="131">
        <f t="shared" si="1"/>
        <v>44336</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c r="H14" s="85"/>
      <c r="I14" s="85"/>
      <c r="J14" s="134"/>
      <c r="K14" s="162" t="e">
        <f t="shared" ref="K14:K34" si="5">+(H14-G14)/(AVERAGE(G14:H14))</f>
        <v>#DIV/0!</v>
      </c>
      <c r="L14" s="163" t="e">
        <f>IF(ABS(K14)&gt;1%,"Yes","No")</f>
        <v>#DIV/0!</v>
      </c>
      <c r="M14" s="134"/>
      <c r="N14" s="164" t="e">
        <f t="shared" si="2"/>
        <v>#DIV/0!</v>
      </c>
      <c r="O14" s="154"/>
      <c r="P14" s="154"/>
      <c r="Q14" s="155"/>
      <c r="R14" s="155" t="str">
        <f t="shared" si="3"/>
        <v>Stature</v>
      </c>
      <c r="S14" s="165"/>
      <c r="T14" s="165"/>
      <c r="U14" s="166" t="e">
        <f t="shared" si="4"/>
        <v>#DIV/0!</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v>7</v>
      </c>
      <c r="H17" s="84">
        <v>6.5</v>
      </c>
      <c r="I17" s="84"/>
      <c r="J17" s="150"/>
      <c r="K17" s="151">
        <f t="shared" si="5"/>
        <v>-7.407407407407407E-2</v>
      </c>
      <c r="L17" s="152" t="str">
        <f t="shared" ref="L17:L24" si="6">IF(ABS(K17)&gt;5%,"Yes","No")</f>
        <v>Yes</v>
      </c>
      <c r="M17" s="150"/>
      <c r="N17" s="153">
        <f t="shared" si="2"/>
        <v>6.75</v>
      </c>
      <c r="O17" s="154"/>
      <c r="P17" s="154"/>
      <c r="Q17" s="155"/>
      <c r="R17" s="156" t="str">
        <f t="shared" si="3"/>
        <v>Triceps sf</v>
      </c>
      <c r="S17" s="157"/>
      <c r="T17" s="157"/>
      <c r="U17" s="175">
        <f t="shared" si="4"/>
        <v>6.75</v>
      </c>
      <c r="V17" s="176" t="s">
        <v>27</v>
      </c>
      <c r="W17" s="177" t="e">
        <f>1/4.47*(+U17*((170.18/U$14)^1)-15.4)</f>
        <v>#DIV/0!</v>
      </c>
      <c r="X17" s="178"/>
      <c r="Y17" s="176"/>
      <c r="Z17" s="179"/>
      <c r="AA17" s="145"/>
    </row>
    <row r="18" spans="1:27" ht="18" customHeight="1">
      <c r="B18" s="161" t="str">
        <f>IF(Info!D34,"Subscapular sf","PL Subescapular")</f>
        <v>Subscapular sf</v>
      </c>
      <c r="C18" s="116"/>
      <c r="D18" s="116"/>
      <c r="E18" s="122"/>
      <c r="F18" s="110"/>
      <c r="G18" s="85">
        <v>12</v>
      </c>
      <c r="H18" s="85">
        <v>13</v>
      </c>
      <c r="I18" s="85"/>
      <c r="J18" s="134"/>
      <c r="K18" s="162">
        <f t="shared" si="5"/>
        <v>0.08</v>
      </c>
      <c r="L18" s="163" t="str">
        <f t="shared" si="6"/>
        <v>Yes</v>
      </c>
      <c r="M18" s="134"/>
      <c r="N18" s="164">
        <f t="shared" si="2"/>
        <v>12.5</v>
      </c>
      <c r="O18" s="154"/>
      <c r="P18" s="154"/>
      <c r="Q18" s="155"/>
      <c r="R18" s="155" t="str">
        <f t="shared" si="3"/>
        <v>Subscapular sf</v>
      </c>
      <c r="S18" s="165"/>
      <c r="T18" s="165"/>
      <c r="U18" s="180">
        <f t="shared" si="4"/>
        <v>12.5</v>
      </c>
      <c r="V18" s="143" t="s">
        <v>27</v>
      </c>
      <c r="W18" s="32" t="e">
        <f>1/5.07*(+U18*((170.18/U$14)^1)-17.2)</f>
        <v>#DIV/0!</v>
      </c>
      <c r="X18" s="181"/>
      <c r="Y18" s="143"/>
      <c r="Z18" s="145"/>
      <c r="AA18" s="145"/>
    </row>
    <row r="19" spans="1:27" ht="18" customHeight="1">
      <c r="B19" s="161" t="str">
        <f>IF(Info!D34,"Biceps sf","PL Bíceps")</f>
        <v>Biceps sf</v>
      </c>
      <c r="C19" s="116"/>
      <c r="D19" s="116"/>
      <c r="E19" s="122"/>
      <c r="F19" s="110"/>
      <c r="G19" s="85">
        <v>3</v>
      </c>
      <c r="H19" s="85">
        <v>3.5</v>
      </c>
      <c r="I19" s="85"/>
      <c r="J19" s="134"/>
      <c r="K19" s="182">
        <f t="shared" si="5"/>
        <v>0.15384615384615385</v>
      </c>
      <c r="L19" s="163" t="str">
        <f t="shared" si="6"/>
        <v>Yes</v>
      </c>
      <c r="M19" s="134"/>
      <c r="N19" s="164">
        <f t="shared" si="2"/>
        <v>3.25</v>
      </c>
      <c r="O19" s="154"/>
      <c r="P19" s="154"/>
      <c r="Q19" s="155"/>
      <c r="R19" s="155" t="str">
        <f t="shared" si="3"/>
        <v>Biceps sf</v>
      </c>
      <c r="S19" s="165"/>
      <c r="T19" s="165"/>
      <c r="U19" s="180">
        <f t="shared" si="4"/>
        <v>3.25</v>
      </c>
      <c r="V19" s="143" t="s">
        <v>27</v>
      </c>
      <c r="W19" s="32" t="e">
        <f>1/2*(+U19*((170.18/U$14)^1)-8)</f>
        <v>#DIV/0!</v>
      </c>
      <c r="X19" s="181"/>
      <c r="Y19" s="143"/>
      <c r="Z19" s="145"/>
      <c r="AA19" s="145"/>
    </row>
    <row r="20" spans="1:27" ht="18" customHeight="1">
      <c r="B20" s="161" t="str">
        <f>IF(Info!D34,"Iliac crest sf","PL Cresta Iliaca")</f>
        <v>Iliac crest sf</v>
      </c>
      <c r="C20" s="116"/>
      <c r="D20" s="116"/>
      <c r="E20" s="122"/>
      <c r="F20" s="110"/>
      <c r="G20" s="85">
        <v>26</v>
      </c>
      <c r="H20" s="85">
        <v>29</v>
      </c>
      <c r="I20" s="85"/>
      <c r="J20" s="134"/>
      <c r="K20" s="182">
        <f t="shared" si="5"/>
        <v>0.10909090909090909</v>
      </c>
      <c r="L20" s="163" t="str">
        <f t="shared" si="6"/>
        <v>Yes</v>
      </c>
      <c r="M20" s="134"/>
      <c r="N20" s="164">
        <f t="shared" si="2"/>
        <v>27.5</v>
      </c>
      <c r="O20" s="154"/>
      <c r="P20" s="154"/>
      <c r="Q20" s="155"/>
      <c r="R20" s="155" t="str">
        <f t="shared" si="3"/>
        <v>Iliac crest sf</v>
      </c>
      <c r="S20" s="165"/>
      <c r="T20" s="165"/>
      <c r="U20" s="180">
        <f t="shared" si="4"/>
        <v>27.5</v>
      </c>
      <c r="V20" s="143" t="s">
        <v>28</v>
      </c>
      <c r="W20" s="32" t="e">
        <f>1/6.8*(+U20*((170.18/U$14)^1)-22.4)</f>
        <v>#DIV/0!</v>
      </c>
      <c r="X20" s="181"/>
      <c r="Y20" s="143"/>
      <c r="Z20" s="145"/>
      <c r="AA20" s="145"/>
    </row>
    <row r="21" spans="1:27" ht="18" customHeight="1">
      <c r="B21" s="161" t="str">
        <f>IF(Info!D34,"Supraspinale sf","PL Supraespinal")</f>
        <v>Supraspinale sf</v>
      </c>
      <c r="C21" s="116"/>
      <c r="D21" s="116"/>
      <c r="E21" s="122"/>
      <c r="F21" s="110"/>
      <c r="G21" s="85">
        <v>10</v>
      </c>
      <c r="H21" s="85">
        <v>10.5</v>
      </c>
      <c r="I21" s="85"/>
      <c r="J21" s="134"/>
      <c r="K21" s="162">
        <f t="shared" si="5"/>
        <v>4.878048780487805E-2</v>
      </c>
      <c r="L21" s="163" t="str">
        <f t="shared" si="6"/>
        <v>No</v>
      </c>
      <c r="M21" s="134"/>
      <c r="N21" s="164">
        <f t="shared" si="2"/>
        <v>10.25</v>
      </c>
      <c r="O21" s="154"/>
      <c r="P21" s="154"/>
      <c r="Q21" s="155"/>
      <c r="R21" s="155" t="str">
        <f t="shared" si="3"/>
        <v>Supraspinale sf</v>
      </c>
      <c r="S21" s="165"/>
      <c r="T21" s="165"/>
      <c r="U21" s="180">
        <f t="shared" si="4"/>
        <v>10.25</v>
      </c>
      <c r="V21" s="143" t="s">
        <v>27</v>
      </c>
      <c r="W21" s="32" t="e">
        <f>1/4.47*(+U21*((170.18/U$14)^1)-15.4)</f>
        <v>#DIV/0!</v>
      </c>
      <c r="X21" s="181"/>
      <c r="Y21" s="143"/>
      <c r="Z21" s="145"/>
      <c r="AA21" s="145"/>
    </row>
    <row r="22" spans="1:27" ht="18" customHeight="1">
      <c r="B22" s="161" t="str">
        <f>IF(Info!D34,"Abdominal sf","PL Abdominal")</f>
        <v>Abdominal sf</v>
      </c>
      <c r="C22" s="116"/>
      <c r="D22" s="116"/>
      <c r="E22" s="122"/>
      <c r="F22" s="110"/>
      <c r="G22" s="85">
        <v>28</v>
      </c>
      <c r="H22" s="85">
        <v>30</v>
      </c>
      <c r="I22" s="85"/>
      <c r="J22" s="134"/>
      <c r="K22" s="162">
        <f t="shared" si="5"/>
        <v>6.8965517241379309E-2</v>
      </c>
      <c r="L22" s="163" t="str">
        <f t="shared" si="6"/>
        <v>Yes</v>
      </c>
      <c r="M22" s="134"/>
      <c r="N22" s="164">
        <f t="shared" si="2"/>
        <v>29</v>
      </c>
      <c r="O22" s="154"/>
      <c r="P22" s="154"/>
      <c r="Q22" s="155"/>
      <c r="R22" s="155" t="str">
        <f t="shared" si="3"/>
        <v>Abdominal sf</v>
      </c>
      <c r="S22" s="165"/>
      <c r="T22" s="165"/>
      <c r="U22" s="180">
        <f t="shared" si="4"/>
        <v>29</v>
      </c>
      <c r="V22" s="143" t="s">
        <v>27</v>
      </c>
      <c r="W22" s="32" t="e">
        <f>1/7.78*(+U22*((170.18/U$14)^1)-25.4)</f>
        <v>#DIV/0!</v>
      </c>
      <c r="X22" s="181"/>
      <c r="Y22" s="143"/>
      <c r="Z22" s="145"/>
      <c r="AA22" s="145"/>
    </row>
    <row r="23" spans="1:27" ht="18" customHeight="1">
      <c r="B23" s="161" t="str">
        <f>IF(Info!D34,"Thigh sf","PL Muslo")</f>
        <v>Thigh sf</v>
      </c>
      <c r="C23" s="116"/>
      <c r="D23" s="116"/>
      <c r="E23" s="122"/>
      <c r="F23" s="110"/>
      <c r="G23" s="85">
        <v>10</v>
      </c>
      <c r="H23" s="85">
        <v>13</v>
      </c>
      <c r="I23" s="85"/>
      <c r="J23" s="134"/>
      <c r="K23" s="182">
        <f t="shared" si="5"/>
        <v>0.2608695652173913</v>
      </c>
      <c r="L23" s="163" t="str">
        <f t="shared" si="6"/>
        <v>Yes</v>
      </c>
      <c r="M23" s="134"/>
      <c r="N23" s="164">
        <f t="shared" si="2"/>
        <v>11.5</v>
      </c>
      <c r="O23" s="154"/>
      <c r="P23" s="154"/>
      <c r="Q23" s="155"/>
      <c r="R23" s="155" t="str">
        <f t="shared" si="3"/>
        <v>Thigh sf</v>
      </c>
      <c r="S23" s="165"/>
      <c r="T23" s="165"/>
      <c r="U23" s="180">
        <f t="shared" si="4"/>
        <v>11.5</v>
      </c>
      <c r="V23" s="143" t="s">
        <v>27</v>
      </c>
      <c r="W23" s="32" t="e">
        <f>1/8.33*(+U23*((170.18/U$14)^1)-27)</f>
        <v>#DIV/0!</v>
      </c>
      <c r="X23" s="181"/>
      <c r="Y23" s="143"/>
      <c r="Z23" s="145"/>
      <c r="AA23" s="145"/>
    </row>
    <row r="24" spans="1:27" ht="18" customHeight="1" thickBot="1">
      <c r="B24" s="183" t="str">
        <f>IF(Info!D34,"Calf sf","PL Pierna")</f>
        <v>Calf sf</v>
      </c>
      <c r="C24" s="184"/>
      <c r="D24" s="184"/>
      <c r="E24" s="185"/>
      <c r="F24" s="186"/>
      <c r="G24" s="86">
        <v>5</v>
      </c>
      <c r="H24" s="86">
        <v>7</v>
      </c>
      <c r="I24" s="86"/>
      <c r="J24" s="187"/>
      <c r="K24" s="182">
        <f t="shared" si="5"/>
        <v>0.33333333333333331</v>
      </c>
      <c r="L24" s="188" t="str">
        <f t="shared" si="6"/>
        <v>Yes</v>
      </c>
      <c r="M24" s="187"/>
      <c r="N24" s="189">
        <f t="shared" si="2"/>
        <v>6</v>
      </c>
      <c r="O24" s="154"/>
      <c r="P24" s="154"/>
      <c r="Q24" s="155"/>
      <c r="R24" s="168" t="str">
        <f t="shared" si="3"/>
        <v>Calf sf</v>
      </c>
      <c r="S24" s="169"/>
      <c r="T24" s="169"/>
      <c r="U24" s="170">
        <f t="shared" si="4"/>
        <v>6</v>
      </c>
      <c r="V24" s="173" t="s">
        <v>27</v>
      </c>
      <c r="W24" s="33" t="e">
        <f>1/4.67*(+U24*((170.18/U$14)^1)-16)</f>
        <v>#DIV/0!</v>
      </c>
      <c r="X24" s="172"/>
      <c r="Y24" s="173"/>
      <c r="Z24" s="174"/>
      <c r="AA24" s="145"/>
    </row>
    <row r="25" spans="1:27" ht="18" customHeight="1">
      <c r="B25" s="161" t="str">
        <f>IF(Info!D34,"Arm girth relaxed","PR Brazo relajado")</f>
        <v>Arm girth relaxed</v>
      </c>
      <c r="C25" s="116"/>
      <c r="D25" s="116"/>
      <c r="E25" s="122"/>
      <c r="F25" s="110"/>
      <c r="G25" s="85">
        <v>36</v>
      </c>
      <c r="H25" s="85">
        <v>36.5</v>
      </c>
      <c r="I25" s="85"/>
      <c r="J25" s="134"/>
      <c r="K25" s="151">
        <f t="shared" si="5"/>
        <v>1.3793103448275862E-2</v>
      </c>
      <c r="L25" s="163" t="str">
        <f>IF(ABS(K25)&gt;1%,"Yes","No")</f>
        <v>Yes</v>
      </c>
      <c r="M25" s="134"/>
      <c r="N25" s="164">
        <f t="shared" si="2"/>
        <v>36.25</v>
      </c>
      <c r="O25" s="154"/>
      <c r="P25" s="154"/>
      <c r="Q25" s="155"/>
      <c r="R25" s="155" t="str">
        <f t="shared" si="3"/>
        <v>Arm girth relaxed</v>
      </c>
      <c r="S25" s="165"/>
      <c r="T25" s="165"/>
      <c r="U25" s="180">
        <f t="shared" si="4"/>
        <v>36.25</v>
      </c>
      <c r="V25" s="143" t="s">
        <v>26</v>
      </c>
      <c r="W25" s="32" t="e">
        <f>1/2.33*(+U25*((170.18/U$14)^1)-26.89)</f>
        <v>#DIV/0!</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34.129424958826888</v>
      </c>
      <c r="V26" s="143" t="s">
        <v>26</v>
      </c>
      <c r="W26" s="32" t="e">
        <f>1/1.91*(+U26*((170.18/U$14)^1)-22.05)</f>
        <v>#DIV/0!</v>
      </c>
      <c r="X26" s="181"/>
      <c r="Y26" s="143"/>
      <c r="Z26" s="145"/>
      <c r="AA26" s="145"/>
    </row>
    <row r="27" spans="1:27" ht="18" customHeight="1">
      <c r="B27" s="199" t="str">
        <f>IF(Info!D34,"Arm girth flexed and tensed","PR Brazo flexionado y contraído")</f>
        <v>Arm girth flexed and tensed</v>
      </c>
      <c r="C27" s="116"/>
      <c r="D27" s="116"/>
      <c r="E27" s="122"/>
      <c r="F27" s="110"/>
      <c r="G27" s="85">
        <v>39</v>
      </c>
      <c r="H27" s="85">
        <v>39</v>
      </c>
      <c r="I27" s="85"/>
      <c r="J27" s="134"/>
      <c r="K27" s="182">
        <f t="shared" si="5"/>
        <v>0</v>
      </c>
      <c r="L27" s="163" t="str">
        <f>IF(ABS(K27)&gt;1%,"Yes","No")</f>
        <v>No</v>
      </c>
      <c r="M27" s="134"/>
      <c r="N27" s="164">
        <f>IF(I27=0,AVERAGE(G27,H27),MEDIAN(G27,H27,I27))</f>
        <v>39</v>
      </c>
      <c r="O27" s="154"/>
      <c r="P27" s="154"/>
      <c r="Q27" s="155"/>
      <c r="R27" s="155" t="str">
        <f t="shared" si="3"/>
        <v>Arm girth flexed and tensed</v>
      </c>
      <c r="S27" s="165"/>
      <c r="T27" s="165"/>
      <c r="U27" s="180">
        <f>+N27</f>
        <v>39</v>
      </c>
      <c r="V27" s="143" t="s">
        <v>26</v>
      </c>
      <c r="W27" s="32" t="e">
        <f>1/2.37*(+U27*((170.18/U$14)^1)-29.41)</f>
        <v>#DIV/0!</v>
      </c>
      <c r="X27" s="181"/>
      <c r="Y27" s="143"/>
      <c r="Z27" s="145"/>
      <c r="AA27" s="145"/>
    </row>
    <row r="28" spans="1:27" ht="18" customHeight="1">
      <c r="B28" s="200" t="str">
        <f>IF(Info!D34,"Waist girth","PR Cintura")</f>
        <v>Waist girth</v>
      </c>
      <c r="C28" s="116"/>
      <c r="D28" s="116"/>
      <c r="E28" s="122"/>
      <c r="F28" s="110"/>
      <c r="G28" s="85">
        <v>81</v>
      </c>
      <c r="H28" s="85">
        <v>82</v>
      </c>
      <c r="I28" s="85"/>
      <c r="J28" s="134"/>
      <c r="K28" s="182">
        <f t="shared" si="5"/>
        <v>1.2269938650306749E-2</v>
      </c>
      <c r="L28" s="163" t="str">
        <f>IF(ABS(K28)&gt;1%,"Yes","No")</f>
        <v>Yes</v>
      </c>
      <c r="M28" s="134"/>
      <c r="N28" s="164">
        <f>IF(I28=0,AVERAGE(G28,H28),MEDIAN(G28,H28,I28))</f>
        <v>81.5</v>
      </c>
      <c r="O28" s="154"/>
      <c r="P28" s="154"/>
      <c r="Q28" s="155"/>
      <c r="R28" s="155" t="str">
        <f t="shared" si="3"/>
        <v>Waist girth</v>
      </c>
      <c r="S28" s="165"/>
      <c r="T28" s="165"/>
      <c r="U28" s="180">
        <f>+N28</f>
        <v>81.5</v>
      </c>
      <c r="V28" s="143" t="s">
        <v>26</v>
      </c>
      <c r="W28" s="32" t="e">
        <f>1/4.45*(+U28*((170.18/U$14)^1)-71.91)</f>
        <v>#DIV/0!</v>
      </c>
      <c r="X28" s="181"/>
      <c r="Y28" s="143"/>
      <c r="Z28" s="145"/>
      <c r="AA28" s="145"/>
    </row>
    <row r="29" spans="1:27" ht="18" customHeight="1">
      <c r="B29" s="200" t="str">
        <f>IF(Info!D34,"Hips girth","PR Caderas")</f>
        <v>Hips girth</v>
      </c>
      <c r="C29" s="116"/>
      <c r="D29" s="116"/>
      <c r="E29" s="122"/>
      <c r="F29" s="110"/>
      <c r="G29" s="85">
        <v>94.5</v>
      </c>
      <c r="H29" s="85">
        <v>96</v>
      </c>
      <c r="I29" s="85"/>
      <c r="J29" s="134"/>
      <c r="K29" s="182">
        <f t="shared" si="5"/>
        <v>1.5748031496062992E-2</v>
      </c>
      <c r="L29" s="163" t="str">
        <f>IF(ABS(K29)&gt;1%,"Yes","No")</f>
        <v>Yes</v>
      </c>
      <c r="M29" s="134"/>
      <c r="N29" s="164">
        <f>IF(I29=0,AVERAGE(G29,H29),MEDIAN(G29,H29,I29))</f>
        <v>95.25</v>
      </c>
      <c r="O29" s="154"/>
      <c r="P29" s="154"/>
      <c r="Q29" s="155"/>
      <c r="R29" s="155" t="str">
        <f t="shared" si="3"/>
        <v>Hips girth</v>
      </c>
      <c r="S29" s="165"/>
      <c r="T29" s="165"/>
      <c r="U29" s="180">
        <f>+N29</f>
        <v>95.25</v>
      </c>
      <c r="V29" s="143" t="s">
        <v>26</v>
      </c>
      <c r="W29" s="32" t="e">
        <f>1/5.58*(+U29*((170.18/U$14)^1)-94.67)</f>
        <v>#DIV/0!</v>
      </c>
      <c r="X29" s="181"/>
      <c r="Y29" s="143"/>
      <c r="Z29" s="145"/>
      <c r="AA29" s="145"/>
    </row>
    <row r="30" spans="1:27" ht="18" customHeight="1">
      <c r="B30" s="200" t="str">
        <f>IF(Info!D34,"Thigh middle girth","PR Muslo medio")</f>
        <v>Thigh middle girth</v>
      </c>
      <c r="C30" s="116"/>
      <c r="D30" s="116"/>
      <c r="E30" s="122"/>
      <c r="F30" s="110"/>
      <c r="G30" s="85">
        <v>55.5</v>
      </c>
      <c r="H30" s="85">
        <v>57</v>
      </c>
      <c r="I30" s="85"/>
      <c r="J30" s="134"/>
      <c r="K30" s="182">
        <f>+(H30-G30)/(AVERAGE(G30:H30))</f>
        <v>2.6666666666666668E-2</v>
      </c>
      <c r="L30" s="163" t="str">
        <f>IF(ABS(K30)&gt;1%,"Yes","No")</f>
        <v>Yes</v>
      </c>
      <c r="M30" s="134"/>
      <c r="N30" s="164">
        <f>IF(I30=0,AVERAGE(G30,H30),MEDIAN(G30,H30,I30))</f>
        <v>56.25</v>
      </c>
      <c r="O30" s="154"/>
      <c r="P30" s="154"/>
      <c r="Q30" s="155"/>
      <c r="R30" s="155" t="str">
        <f t="shared" si="3"/>
        <v>Thigh middle girth</v>
      </c>
      <c r="S30" s="165"/>
      <c r="T30" s="165"/>
      <c r="U30" s="180">
        <f>+N30</f>
        <v>56.25</v>
      </c>
      <c r="V30" s="143" t="s">
        <v>26</v>
      </c>
      <c r="W30" s="32" t="e">
        <f>1/4.56*(+U30*((170.18/U$14)^1)-53.2)</f>
        <v>#DIV/0!</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52.637168448371739</v>
      </c>
      <c r="V31" s="143" t="s">
        <v>26</v>
      </c>
      <c r="W31" s="32" t="e">
        <f>1/3.59*(+U31*((170.18/U$14)^1)-47.34)</f>
        <v>#DIV/0!</v>
      </c>
      <c r="X31" s="181"/>
      <c r="Y31" s="143"/>
      <c r="Z31" s="145"/>
      <c r="AA31" s="145"/>
    </row>
    <row r="32" spans="1:27" ht="18" customHeight="1">
      <c r="B32" s="161" t="str">
        <f>IF(Info!D34,"Calf girth","PR Pierna")</f>
        <v>Calf girth</v>
      </c>
      <c r="C32" s="116"/>
      <c r="D32" s="116"/>
      <c r="E32" s="122"/>
      <c r="F32" s="110"/>
      <c r="G32" s="85">
        <v>36</v>
      </c>
      <c r="H32" s="85">
        <v>36.5</v>
      </c>
      <c r="I32" s="85"/>
      <c r="J32" s="134"/>
      <c r="K32" s="182">
        <f t="shared" si="5"/>
        <v>1.3793103448275862E-2</v>
      </c>
      <c r="L32" s="163" t="str">
        <f>IF(ABS(K32)&gt;1%,"Yes","No")</f>
        <v>Yes</v>
      </c>
      <c r="M32" s="134"/>
      <c r="N32" s="164">
        <f>IF(I32=0,AVERAGE(G32,H32),MEDIAN(G32,H32,I32))</f>
        <v>36.25</v>
      </c>
      <c r="O32" s="154"/>
      <c r="P32" s="154"/>
      <c r="Q32" s="155"/>
      <c r="R32" s="155" t="str">
        <f t="shared" si="3"/>
        <v>Calf girth</v>
      </c>
      <c r="S32" s="165"/>
      <c r="T32" s="165"/>
      <c r="U32" s="201">
        <f>+N32</f>
        <v>36.25</v>
      </c>
      <c r="V32" s="143" t="s">
        <v>26</v>
      </c>
      <c r="W32" s="32" t="e">
        <f>1/2.3*(+U32*((170.18/U$14)^1)-35.25)</f>
        <v>#DIV/0!</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34.365044407846128</v>
      </c>
      <c r="V33" s="173" t="s">
        <v>26</v>
      </c>
      <c r="W33" s="33" t="e">
        <f>1/1.97*(+U33*((170.18/U$14)^1)-30.22)</f>
        <v>#DIV/0!</v>
      </c>
      <c r="X33" s="172"/>
      <c r="Y33" s="173"/>
      <c r="Z33" s="174"/>
      <c r="AA33" s="145"/>
    </row>
    <row r="34" spans="1:27" ht="18" customHeight="1" thickBot="1">
      <c r="B34" s="161" t="str">
        <f>IF(Info!D34,"Humerus breadth","D Húmero")</f>
        <v>Humerus breadth</v>
      </c>
      <c r="C34" s="116"/>
      <c r="D34" s="116"/>
      <c r="E34" s="122"/>
      <c r="F34" s="110"/>
      <c r="G34" s="87"/>
      <c r="H34" s="87"/>
      <c r="I34" s="87"/>
      <c r="J34" s="134"/>
      <c r="K34" s="151" t="e">
        <f t="shared" si="5"/>
        <v>#DIV/0!</v>
      </c>
      <c r="L34" s="209" t="e">
        <f>IF(ABS(K34)&gt;1%,"Yes","No")</f>
        <v>#DIV/0!</v>
      </c>
      <c r="M34" s="134"/>
      <c r="N34" s="210" t="e">
        <f>IF(I34=0,AVERAGE(G34,H34),MEDIAN(G34,H34,I34))</f>
        <v>#DIV/0!</v>
      </c>
      <c r="O34" s="154"/>
      <c r="P34" s="154"/>
      <c r="Q34" s="155"/>
      <c r="R34" s="155" t="str">
        <f t="shared" si="3"/>
        <v>Humerus breadth</v>
      </c>
      <c r="S34" s="165"/>
      <c r="T34" s="165"/>
      <c r="U34" s="180" t="e">
        <f>+N34</f>
        <v>#DIV/0!</v>
      </c>
      <c r="V34" s="143" t="s">
        <v>26</v>
      </c>
      <c r="W34" s="32" t="e">
        <f>1/0.35*(+U34*((170.18/U$14)^1)-6.48)</f>
        <v>#DIV/0!</v>
      </c>
      <c r="X34" s="181"/>
      <c r="Y34" s="143"/>
      <c r="Z34" s="145"/>
      <c r="AA34" s="145"/>
    </row>
    <row r="35" spans="1:27" ht="18" customHeight="1">
      <c r="B35" s="161" t="str">
        <f>IF(Info!D34,"Bi-styloid breadth","D Biestiloideo")</f>
        <v>Bi-styloid breadth</v>
      </c>
      <c r="C35" s="116"/>
      <c r="D35" s="116"/>
      <c r="E35" s="122"/>
      <c r="F35" s="110"/>
      <c r="G35" s="91"/>
      <c r="H35" s="91"/>
      <c r="I35" s="91"/>
      <c r="J35" s="134"/>
      <c r="K35" s="151" t="e">
        <f>+(H35-G35)/(AVERAGE(G35:H35))</f>
        <v>#DIV/0!</v>
      </c>
      <c r="L35" s="209" t="e">
        <f>IF(ABS(K35)&gt;1%,"Yes","No")</f>
        <v>#DIV/0!</v>
      </c>
      <c r="M35" s="134"/>
      <c r="N35" s="210" t="e">
        <f>IF(I35=0,AVERAGE(G35,H35),MEDIAN(G35,H35,I35))</f>
        <v>#DIV/0!</v>
      </c>
      <c r="O35" s="154"/>
      <c r="P35" s="154"/>
      <c r="Q35" s="155"/>
      <c r="R35" s="155" t="str">
        <f t="shared" si="3"/>
        <v>Bi-styloid breadth</v>
      </c>
      <c r="S35" s="165"/>
      <c r="T35" s="165"/>
      <c r="U35" s="180" t="e">
        <f>+N35</f>
        <v>#DIV/0!</v>
      </c>
      <c r="V35" s="143" t="s">
        <v>26</v>
      </c>
      <c r="W35" s="32" t="e">
        <f>1/0.28*(+U35*((170.18/U$14)^1)-5.21)</f>
        <v>#DIV/0!</v>
      </c>
      <c r="X35" s="181"/>
      <c r="Y35" s="143"/>
      <c r="Z35" s="145"/>
      <c r="AA35" s="145"/>
    </row>
    <row r="36" spans="1:27" ht="18" customHeight="1" thickBot="1">
      <c r="B36" s="183" t="str">
        <f>IF(Info!D34,"Femur breadth","D Fémur")</f>
        <v>Femur breadth</v>
      </c>
      <c r="C36" s="184"/>
      <c r="D36" s="184"/>
      <c r="E36" s="185"/>
      <c r="F36" s="186"/>
      <c r="G36" s="86"/>
      <c r="H36" s="86"/>
      <c r="I36" s="86"/>
      <c r="J36" s="187"/>
      <c r="K36" s="182" t="e">
        <f>+(H36-G36)/(AVERAGE(G36:H36))</f>
        <v>#DIV/0!</v>
      </c>
      <c r="L36" s="188" t="e">
        <f>IF(ABS(K36)&gt;1%,"Yes","No")</f>
        <v>#DIV/0!</v>
      </c>
      <c r="M36" s="187"/>
      <c r="N36" s="189" t="e">
        <f>IF(I36=0,AVERAGE(G36,H36),MEDIAN(G36,H36,I36))</f>
        <v>#DIV/0!</v>
      </c>
      <c r="O36" s="154"/>
      <c r="P36" s="154"/>
      <c r="Q36" s="155"/>
      <c r="R36" s="211" t="str">
        <f t="shared" si="3"/>
        <v>Femur breadth</v>
      </c>
      <c r="S36" s="212"/>
      <c r="T36" s="212"/>
      <c r="U36" s="213" t="e">
        <f>+N36</f>
        <v>#DIV/0!</v>
      </c>
      <c r="V36" s="214" t="s">
        <v>26</v>
      </c>
      <c r="W36" s="215" t="e">
        <f>1/0.48*(+U36*((170.18/U$14)^1)-9.52)</f>
        <v>#DIV/0!</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1</v>
      </c>
      <c r="F40" s="223">
        <f>IF(H13=I13,1,0)</f>
        <v>1</v>
      </c>
      <c r="G40" s="223">
        <f>IF(I13="",0,1)</f>
        <v>0</v>
      </c>
      <c r="H40" s="222" t="e">
        <f>IF(L13="Yes",1,0)</f>
        <v>#DIV/0!</v>
      </c>
      <c r="I40" s="224">
        <f>COUNTIF(G13,"")</f>
        <v>1</v>
      </c>
      <c r="J40" s="224">
        <f>COUNTIF(H13,"")</f>
        <v>1</v>
      </c>
      <c r="K40" s="224"/>
      <c r="L40" s="225"/>
      <c r="M40" s="225"/>
      <c r="N40" s="224"/>
      <c r="Q40" s="113"/>
      <c r="R40" s="113"/>
      <c r="S40" s="226" t="str">
        <f>'3'!S40</f>
        <v>Somatotype</v>
      </c>
      <c r="T40" s="227" t="str">
        <f>IF(Info!D34,"Endomorphy","Endomorfia")</f>
        <v>Endomorphy</v>
      </c>
      <c r="U40" s="201" t="e">
        <f>-0.7182+0.1451*((U17+U18+U21)*(170.18/U14))-0.00068*(((U17+U18+U21)*(170.18/U14))^2)+0.0000014*(((U17+U18+U21)*(170.18/U14))^3)</f>
        <v>#DIV/0!</v>
      </c>
      <c r="V40" s="124"/>
      <c r="W40" s="124"/>
      <c r="X40" s="124"/>
      <c r="Y40" s="124"/>
      <c r="Z40" s="145"/>
      <c r="AA40" s="145"/>
    </row>
    <row r="41" spans="1:27" s="109" customFormat="1">
      <c r="A41" s="104"/>
      <c r="B41" s="223" t="str">
        <f t="shared" ref="B41:B62" si="7">B14</f>
        <v>Stature</v>
      </c>
      <c r="C41" s="222"/>
      <c r="D41" s="223">
        <f t="shared" ref="D41:D62" si="8">IF(G14=H14,1,0)</f>
        <v>1</v>
      </c>
      <c r="E41" s="223">
        <f t="shared" ref="E41:E62" si="9">IF(G14=I14,1,0)</f>
        <v>1</v>
      </c>
      <c r="F41" s="223">
        <f t="shared" ref="F41:F62" si="10">IF(H14=I14,1,0)</f>
        <v>1</v>
      </c>
      <c r="G41" s="223">
        <f t="shared" ref="G41:G62" si="11">IF(I14="",0,1)</f>
        <v>0</v>
      </c>
      <c r="H41" s="222" t="e">
        <f t="shared" ref="H41:H62" si="12">IF(L14="Yes",1,0)</f>
        <v>#DIV/0!</v>
      </c>
      <c r="I41" s="224">
        <f t="shared" ref="I41:J56" si="13">COUNTIF(G14,"")</f>
        <v>1</v>
      </c>
      <c r="J41" s="224">
        <f t="shared" si="13"/>
        <v>1</v>
      </c>
      <c r="K41" s="224"/>
      <c r="L41" s="225"/>
      <c r="M41" s="225"/>
      <c r="N41" s="224"/>
      <c r="O41" s="104"/>
      <c r="P41" s="104"/>
      <c r="Q41" s="113"/>
      <c r="R41" s="113"/>
      <c r="S41" s="227" t="str">
        <f>'3'!S41</f>
        <v>(Heath-Carter)</v>
      </c>
      <c r="T41" s="227" t="str">
        <f>IF(Info!D34,"Mesomorphy","Mesomorfia")</f>
        <v>Mesomorphy</v>
      </c>
      <c r="U41" s="201" t="e">
        <f>(0.858*U34)+(0.601*U36)+(0.188*(U27-(U17/10)))+(0.161*(U32-(U24/10)))-(0.131*U14)+4.5</f>
        <v>#DIV/0!</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0</v>
      </c>
      <c r="F44" s="223">
        <f t="shared" si="10"/>
        <v>0</v>
      </c>
      <c r="G44" s="223">
        <f t="shared" si="11"/>
        <v>0</v>
      </c>
      <c r="H44" s="222">
        <f t="shared" si="12"/>
        <v>1</v>
      </c>
      <c r="I44" s="224">
        <f t="shared" si="13"/>
        <v>0</v>
      </c>
      <c r="J44" s="224">
        <f t="shared" si="13"/>
        <v>0</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22"/>
      <c r="D45" s="223">
        <f t="shared" si="8"/>
        <v>0</v>
      </c>
      <c r="E45" s="223">
        <f t="shared" si="9"/>
        <v>0</v>
      </c>
      <c r="F45" s="223">
        <f t="shared" si="10"/>
        <v>0</v>
      </c>
      <c r="G45" s="223">
        <f t="shared" si="11"/>
        <v>0</v>
      </c>
      <c r="H45" s="222">
        <f t="shared" si="12"/>
        <v>1</v>
      </c>
      <c r="I45" s="224">
        <f t="shared" si="13"/>
        <v>0</v>
      </c>
      <c r="J45" s="224">
        <f t="shared" si="13"/>
        <v>0</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0</v>
      </c>
      <c r="G46" s="223">
        <f t="shared" si="11"/>
        <v>0</v>
      </c>
      <c r="H46" s="222">
        <f t="shared" si="12"/>
        <v>1</v>
      </c>
      <c r="I46" s="224">
        <f t="shared" si="13"/>
        <v>0</v>
      </c>
      <c r="J46" s="224">
        <f t="shared" si="13"/>
        <v>0</v>
      </c>
      <c r="K46" s="224"/>
      <c r="L46" s="225"/>
      <c r="M46" s="225"/>
      <c r="N46" s="224"/>
      <c r="O46" s="104"/>
      <c r="P46" s="104"/>
      <c r="Q46" s="113"/>
      <c r="R46" s="113"/>
      <c r="S46" s="226" t="str">
        <f>'3'!S46</f>
        <v>Waist/Hip ratio</v>
      </c>
      <c r="T46" s="124"/>
      <c r="U46" s="232">
        <f>+U28/U29</f>
        <v>0.85564304461942253</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0</v>
      </c>
      <c r="G47" s="223">
        <f t="shared" si="11"/>
        <v>0</v>
      </c>
      <c r="H47" s="222">
        <f t="shared" si="12"/>
        <v>1</v>
      </c>
      <c r="I47" s="224">
        <f t="shared" si="13"/>
        <v>0</v>
      </c>
      <c r="J47" s="224">
        <f t="shared" si="13"/>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0</v>
      </c>
      <c r="G48" s="223">
        <f t="shared" si="11"/>
        <v>0</v>
      </c>
      <c r="H48" s="222">
        <f t="shared" si="12"/>
        <v>0</v>
      </c>
      <c r="I48" s="224">
        <f t="shared" si="13"/>
        <v>0</v>
      </c>
      <c r="J48" s="224">
        <f t="shared" si="13"/>
        <v>0</v>
      </c>
      <c r="K48" s="224"/>
      <c r="L48" s="224"/>
      <c r="M48" s="224"/>
      <c r="N48" s="224"/>
      <c r="O48" s="104"/>
      <c r="P48" s="104"/>
      <c r="Q48" s="113"/>
      <c r="R48" s="113"/>
      <c r="S48" s="226" t="str">
        <f>'3'!S48</f>
        <v>Sum of 6 skinfolds</v>
      </c>
      <c r="T48" s="104"/>
      <c r="U48" s="235">
        <f>SUM(U17:U18,U21:U24)</f>
        <v>76</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0</v>
      </c>
      <c r="G49" s="223">
        <f t="shared" si="11"/>
        <v>0</v>
      </c>
      <c r="H49" s="222">
        <f t="shared" si="12"/>
        <v>1</v>
      </c>
      <c r="I49" s="224">
        <f>COUNTIF(G22,"")</f>
        <v>0</v>
      </c>
      <c r="J49" s="224">
        <f t="shared" si="13"/>
        <v>0</v>
      </c>
      <c r="K49" s="224"/>
      <c r="L49" s="224"/>
      <c r="M49" s="224"/>
      <c r="N49" s="224"/>
      <c r="Q49" s="236"/>
      <c r="R49" s="236"/>
      <c r="S49" s="226" t="str">
        <f>'3'!S49</f>
        <v>Sum of 8 skinfolds</v>
      </c>
      <c r="T49" s="104"/>
      <c r="U49" s="235">
        <f>SUM(U17:U24)</f>
        <v>106.75</v>
      </c>
      <c r="V49" s="227" t="str">
        <f>'3'!V49</f>
        <v>mm</v>
      </c>
      <c r="W49" s="126"/>
      <c r="X49" s="232"/>
      <c r="Y49" s="126"/>
      <c r="Z49" s="115"/>
      <c r="AA49" s="115"/>
    </row>
    <row r="50" spans="1:27">
      <c r="A50" s="109"/>
      <c r="B50" s="223" t="str">
        <f t="shared" si="7"/>
        <v>Thigh sf</v>
      </c>
      <c r="C50" s="222"/>
      <c r="D50" s="223">
        <f t="shared" si="8"/>
        <v>0</v>
      </c>
      <c r="E50" s="223">
        <f t="shared" si="9"/>
        <v>0</v>
      </c>
      <c r="F50" s="223">
        <f t="shared" si="10"/>
        <v>0</v>
      </c>
      <c r="G50" s="223">
        <f t="shared" si="11"/>
        <v>0</v>
      </c>
      <c r="H50" s="222">
        <f t="shared" si="12"/>
        <v>1</v>
      </c>
      <c r="I50" s="224">
        <f t="shared" si="13"/>
        <v>0</v>
      </c>
      <c r="J50" s="224">
        <f t="shared" si="13"/>
        <v>0</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0</v>
      </c>
      <c r="F51" s="223">
        <f t="shared" si="10"/>
        <v>0</v>
      </c>
      <c r="G51" s="223">
        <f t="shared" si="11"/>
        <v>0</v>
      </c>
      <c r="H51" s="222">
        <f t="shared" si="12"/>
        <v>1</v>
      </c>
      <c r="I51" s="224">
        <f t="shared" si="13"/>
        <v>0</v>
      </c>
      <c r="J51" s="224">
        <f t="shared" si="13"/>
        <v>0</v>
      </c>
      <c r="K51" s="224"/>
      <c r="L51" s="224"/>
      <c r="M51" s="224"/>
      <c r="N51" s="224"/>
      <c r="Q51" s="113"/>
      <c r="R51" s="113"/>
      <c r="S51" s="226" t="str">
        <f>'3'!S51</f>
        <v>Fat percentage</v>
      </c>
      <c r="T51" s="238"/>
      <c r="U51" s="35">
        <f>IF(U8=1,0.735*(U17+U24)+1,0.61*(U17+U24)+5.1)</f>
        <v>10.37125</v>
      </c>
      <c r="V51" s="227" t="str">
        <f>'3'!V51</f>
        <v>(Slaughter)</v>
      </c>
      <c r="X51" s="229"/>
      <c r="Y51" s="124"/>
      <c r="Z51" s="145"/>
      <c r="AA51" s="145"/>
    </row>
    <row r="52" spans="1:27">
      <c r="B52" s="223" t="str">
        <f t="shared" si="7"/>
        <v>Arm girth relaxed</v>
      </c>
      <c r="C52" s="222"/>
      <c r="D52" s="223">
        <f t="shared" si="8"/>
        <v>0</v>
      </c>
      <c r="E52" s="223">
        <f t="shared" si="9"/>
        <v>0</v>
      </c>
      <c r="F52" s="223">
        <f t="shared" si="10"/>
        <v>0</v>
      </c>
      <c r="G52" s="223">
        <f t="shared" si="11"/>
        <v>0</v>
      </c>
      <c r="H52" s="222">
        <f t="shared" si="12"/>
        <v>1</v>
      </c>
      <c r="I52" s="224">
        <f t="shared" si="13"/>
        <v>0</v>
      </c>
      <c r="J52" s="224">
        <f t="shared" si="13"/>
        <v>0</v>
      </c>
      <c r="K52" s="224"/>
      <c r="L52" s="224"/>
      <c r="M52" s="224"/>
      <c r="N52" s="224"/>
      <c r="Q52" s="113"/>
      <c r="R52" s="113"/>
      <c r="U52" s="35">
        <f>IF(U8=1,0.153*(U17+U18+U21+U22)+5.783,0.213*(U17+U18+U21+U22)+7.9)</f>
        <v>14.733499999999999</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10.567599999999999</v>
      </c>
      <c r="V53" s="227" t="str">
        <f>'3'!V53</f>
        <v>(Carter, from Yuhasz)</v>
      </c>
      <c r="X53" s="229"/>
      <c r="Y53" s="227"/>
      <c r="Z53" s="145"/>
      <c r="AA53" s="145"/>
    </row>
    <row r="54" spans="1:27">
      <c r="B54" s="223" t="str">
        <f t="shared" si="7"/>
        <v>Arm girth flexed and tensed</v>
      </c>
      <c r="C54" s="222"/>
      <c r="D54" s="223">
        <f t="shared" si="8"/>
        <v>1</v>
      </c>
      <c r="E54" s="223">
        <f t="shared" si="9"/>
        <v>0</v>
      </c>
      <c r="F54" s="223">
        <f t="shared" si="10"/>
        <v>0</v>
      </c>
      <c r="G54" s="223">
        <f t="shared" si="11"/>
        <v>0</v>
      </c>
      <c r="H54" s="222">
        <f t="shared" si="12"/>
        <v>0</v>
      </c>
      <c r="I54" s="224">
        <f t="shared" si="13"/>
        <v>0</v>
      </c>
      <c r="J54" s="224">
        <f t="shared" si="13"/>
        <v>0</v>
      </c>
      <c r="K54" s="224"/>
      <c r="L54" s="224"/>
      <c r="M54" s="224"/>
      <c r="N54" s="224"/>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22"/>
      <c r="D55" s="223">
        <f t="shared" si="8"/>
        <v>0</v>
      </c>
      <c r="E55" s="223">
        <f t="shared" si="9"/>
        <v>0</v>
      </c>
      <c r="F55" s="223">
        <f t="shared" si="10"/>
        <v>0</v>
      </c>
      <c r="G55" s="223">
        <f t="shared" si="11"/>
        <v>0</v>
      </c>
      <c r="H55" s="222">
        <f t="shared" si="12"/>
        <v>1</v>
      </c>
      <c r="I55" s="224">
        <f t="shared" si="13"/>
        <v>0</v>
      </c>
      <c r="J55" s="224">
        <f t="shared" si="13"/>
        <v>0</v>
      </c>
      <c r="K55" s="224"/>
      <c r="L55" s="224">
        <f>COUNTIF(L13:L36,"yes")</f>
        <v>12</v>
      </c>
      <c r="M55" s="224"/>
      <c r="N55" s="224"/>
      <c r="Q55" s="113"/>
      <c r="R55" s="113"/>
      <c r="U55" s="35" t="e">
        <f>(U14/100*((0.0064*(U26^2))+(0.0032*(U31^2))+(0.0015*(U33^2)))+(2.56*IF(U8=1,1,0))+(0.136*(U10-U11)/365.25))*100/U13</f>
        <v>#DIV/0!</v>
      </c>
      <c r="V55" s="239" t="str">
        <f>'3'!V55</f>
        <v>(Poortmans)</v>
      </c>
      <c r="X55" s="240"/>
      <c r="Y55" s="227"/>
      <c r="Z55" s="145"/>
      <c r="AA55" s="145"/>
    </row>
    <row r="56" spans="1:27">
      <c r="B56" s="223" t="str">
        <f t="shared" si="7"/>
        <v>Hips girth</v>
      </c>
      <c r="C56" s="222"/>
      <c r="D56" s="223">
        <f t="shared" si="8"/>
        <v>0</v>
      </c>
      <c r="E56" s="223">
        <f t="shared" si="9"/>
        <v>0</v>
      </c>
      <c r="F56" s="223">
        <f t="shared" si="10"/>
        <v>0</v>
      </c>
      <c r="G56" s="223">
        <f t="shared" si="11"/>
        <v>0</v>
      </c>
      <c r="H56" s="222">
        <f t="shared" si="12"/>
        <v>1</v>
      </c>
      <c r="I56" s="224">
        <f t="shared" si="13"/>
        <v>0</v>
      </c>
      <c r="J56" s="224">
        <f t="shared" si="13"/>
        <v>0</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0</v>
      </c>
      <c r="E57" s="223">
        <f t="shared" si="9"/>
        <v>0</v>
      </c>
      <c r="F57" s="223">
        <f t="shared" si="10"/>
        <v>0</v>
      </c>
      <c r="G57" s="223">
        <f t="shared" si="11"/>
        <v>0</v>
      </c>
      <c r="H57" s="222">
        <f t="shared" si="12"/>
        <v>1</v>
      </c>
      <c r="I57" s="224">
        <f t="shared" ref="I57:J62" si="14">COUNTIF(G30,"")</f>
        <v>0</v>
      </c>
      <c r="J57" s="224">
        <f t="shared" si="14"/>
        <v>0</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0</v>
      </c>
      <c r="G59" s="223">
        <f t="shared" si="11"/>
        <v>0</v>
      </c>
      <c r="H59" s="222">
        <f t="shared" si="12"/>
        <v>1</v>
      </c>
      <c r="I59" s="224">
        <f t="shared" si="14"/>
        <v>0</v>
      </c>
      <c r="J59" s="224">
        <f t="shared" si="14"/>
        <v>0</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1</v>
      </c>
      <c r="E61" s="223">
        <f t="shared" si="9"/>
        <v>1</v>
      </c>
      <c r="F61" s="223">
        <f t="shared" si="10"/>
        <v>1</v>
      </c>
      <c r="G61" s="223">
        <f t="shared" si="11"/>
        <v>0</v>
      </c>
      <c r="H61" s="222" t="e">
        <f t="shared" si="12"/>
        <v>#DIV/0!</v>
      </c>
      <c r="I61" s="224">
        <f t="shared" si="14"/>
        <v>1</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1</v>
      </c>
      <c r="E62" s="223">
        <f t="shared" si="9"/>
        <v>1</v>
      </c>
      <c r="F62" s="223">
        <f t="shared" si="10"/>
        <v>1</v>
      </c>
      <c r="G62" s="223">
        <f t="shared" si="11"/>
        <v>0</v>
      </c>
      <c r="H62" s="222" t="e">
        <f t="shared" si="12"/>
        <v>#DIV/0!</v>
      </c>
      <c r="I62" s="224">
        <f t="shared" si="14"/>
        <v>1</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1</v>
      </c>
      <c r="E63" s="223">
        <f>IF(G36=I36,1,0)</f>
        <v>1</v>
      </c>
      <c r="F63" s="223">
        <f>IF(H36=I36,1,0)</f>
        <v>1</v>
      </c>
      <c r="G63" s="223">
        <f>IF(I36="",0,1)</f>
        <v>0</v>
      </c>
      <c r="H63" s="222" t="e">
        <f>IF(L36="Yes",1,0)</f>
        <v>#DIV/0!</v>
      </c>
      <c r="I63" s="224">
        <f>COUNTIF(G36,"")</f>
        <v>1</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8</v>
      </c>
      <c r="E64" s="223">
        <f t="shared" si="15"/>
        <v>7</v>
      </c>
      <c r="F64" s="223">
        <f t="shared" si="15"/>
        <v>7</v>
      </c>
      <c r="G64" s="223">
        <f t="shared" si="15"/>
        <v>0</v>
      </c>
      <c r="H64" s="223" t="e">
        <f t="shared" si="15"/>
        <v>#DIV/0!</v>
      </c>
      <c r="I64" s="224">
        <f t="shared" si="15"/>
        <v>7</v>
      </c>
      <c r="J64" s="224">
        <f t="shared" si="15"/>
        <v>7</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24">
        <f>ABS(G67-H67)</f>
        <v>0</v>
      </c>
      <c r="K67" s="224">
        <f>ABS(I67-G67)</f>
        <v>0</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0</v>
      </c>
      <c r="H68" s="245">
        <f t="shared" si="16"/>
        <v>0</v>
      </c>
      <c r="I68" s="245">
        <f t="shared" si="16"/>
        <v>0</v>
      </c>
      <c r="J68" s="224">
        <f t="shared" ref="J68:J87" si="18">ABS(G68-H68)</f>
        <v>0</v>
      </c>
      <c r="K68" s="224">
        <f t="shared" ref="K68:K87" si="19">ABS(I68-G68)</f>
        <v>0</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7</v>
      </c>
      <c r="H71" s="245">
        <f t="shared" si="16"/>
        <v>6.5</v>
      </c>
      <c r="I71" s="245">
        <f t="shared" si="16"/>
        <v>0</v>
      </c>
      <c r="J71" s="224">
        <f t="shared" si="18"/>
        <v>0.5</v>
      </c>
      <c r="K71" s="224">
        <f t="shared" si="19"/>
        <v>7</v>
      </c>
      <c r="L71" s="224">
        <f t="shared" si="20"/>
        <v>6.5</v>
      </c>
      <c r="M71" s="246">
        <f t="shared" si="21"/>
        <v>7</v>
      </c>
      <c r="N71" s="246">
        <f t="shared" si="22"/>
        <v>6.5</v>
      </c>
    </row>
    <row r="72" spans="1:22" s="247" customFormat="1">
      <c r="B72" s="269" t="str">
        <f t="shared" si="17"/>
        <v>Subscapular sf</v>
      </c>
      <c r="C72" s="269"/>
      <c r="D72" s="269"/>
      <c r="E72" s="269"/>
      <c r="F72" s="269"/>
      <c r="G72" s="245">
        <f t="shared" si="16"/>
        <v>12</v>
      </c>
      <c r="H72" s="245">
        <f t="shared" si="16"/>
        <v>13</v>
      </c>
      <c r="I72" s="245">
        <f t="shared" si="16"/>
        <v>0</v>
      </c>
      <c r="J72" s="224">
        <f t="shared" si="18"/>
        <v>1</v>
      </c>
      <c r="K72" s="224">
        <f t="shared" si="19"/>
        <v>12</v>
      </c>
      <c r="L72" s="224">
        <f t="shared" si="20"/>
        <v>13</v>
      </c>
      <c r="M72" s="246">
        <f t="shared" si="21"/>
        <v>12</v>
      </c>
      <c r="N72" s="246">
        <f t="shared" si="22"/>
        <v>13</v>
      </c>
    </row>
    <row r="73" spans="1:22" s="247" customFormat="1">
      <c r="B73" s="269" t="str">
        <f t="shared" si="17"/>
        <v>Biceps sf</v>
      </c>
      <c r="C73" s="269"/>
      <c r="D73" s="269"/>
      <c r="E73" s="269"/>
      <c r="F73" s="269"/>
      <c r="G73" s="245">
        <f t="shared" si="16"/>
        <v>3</v>
      </c>
      <c r="H73" s="245">
        <f t="shared" si="16"/>
        <v>3.5</v>
      </c>
      <c r="I73" s="245">
        <f t="shared" si="16"/>
        <v>0</v>
      </c>
      <c r="J73" s="224">
        <f t="shared" si="18"/>
        <v>0.5</v>
      </c>
      <c r="K73" s="224">
        <f t="shared" si="19"/>
        <v>3</v>
      </c>
      <c r="L73" s="224">
        <f t="shared" si="20"/>
        <v>3.5</v>
      </c>
      <c r="M73" s="246">
        <f t="shared" si="21"/>
        <v>3</v>
      </c>
      <c r="N73" s="246">
        <f t="shared" si="22"/>
        <v>3.5</v>
      </c>
    </row>
    <row r="74" spans="1:22" s="247" customFormat="1">
      <c r="B74" s="269" t="str">
        <f t="shared" si="17"/>
        <v>Iliac crest sf</v>
      </c>
      <c r="C74" s="269"/>
      <c r="D74" s="269"/>
      <c r="E74" s="269"/>
      <c r="F74" s="269"/>
      <c r="G74" s="245">
        <f t="shared" si="16"/>
        <v>26</v>
      </c>
      <c r="H74" s="245">
        <f t="shared" si="16"/>
        <v>29</v>
      </c>
      <c r="I74" s="245">
        <f t="shared" si="16"/>
        <v>0</v>
      </c>
      <c r="J74" s="224">
        <f t="shared" si="18"/>
        <v>3</v>
      </c>
      <c r="K74" s="224">
        <f t="shared" si="19"/>
        <v>26</v>
      </c>
      <c r="L74" s="224">
        <f t="shared" si="20"/>
        <v>29</v>
      </c>
      <c r="M74" s="246">
        <f t="shared" si="21"/>
        <v>26</v>
      </c>
      <c r="N74" s="246">
        <f t="shared" si="22"/>
        <v>29</v>
      </c>
    </row>
    <row r="75" spans="1:22" s="247" customFormat="1">
      <c r="B75" s="269" t="str">
        <f t="shared" si="17"/>
        <v>Supraspinale sf</v>
      </c>
      <c r="C75" s="269"/>
      <c r="D75" s="269"/>
      <c r="E75" s="269"/>
      <c r="F75" s="269"/>
      <c r="G75" s="245">
        <f t="shared" si="16"/>
        <v>10</v>
      </c>
      <c r="H75" s="245">
        <f t="shared" si="16"/>
        <v>10.5</v>
      </c>
      <c r="I75" s="245">
        <f t="shared" si="16"/>
        <v>0</v>
      </c>
      <c r="J75" s="224">
        <f t="shared" si="18"/>
        <v>0.5</v>
      </c>
      <c r="K75" s="224">
        <f t="shared" si="19"/>
        <v>10</v>
      </c>
      <c r="L75" s="224">
        <f t="shared" si="20"/>
        <v>10.5</v>
      </c>
      <c r="M75" s="246">
        <f t="shared" si="21"/>
        <v>10</v>
      </c>
      <c r="N75" s="246">
        <f t="shared" si="22"/>
        <v>10.5</v>
      </c>
    </row>
    <row r="76" spans="1:22" s="247" customFormat="1">
      <c r="B76" s="269" t="str">
        <f t="shared" si="17"/>
        <v>Abdominal sf</v>
      </c>
      <c r="C76" s="269"/>
      <c r="D76" s="269"/>
      <c r="E76" s="269"/>
      <c r="F76" s="269"/>
      <c r="G76" s="245">
        <f t="shared" si="16"/>
        <v>28</v>
      </c>
      <c r="H76" s="245">
        <f t="shared" si="16"/>
        <v>30</v>
      </c>
      <c r="I76" s="245">
        <f t="shared" si="16"/>
        <v>0</v>
      </c>
      <c r="J76" s="224">
        <f t="shared" si="18"/>
        <v>2</v>
      </c>
      <c r="K76" s="224">
        <f t="shared" si="19"/>
        <v>28</v>
      </c>
      <c r="L76" s="224">
        <f t="shared" si="20"/>
        <v>30</v>
      </c>
      <c r="M76" s="246">
        <f t="shared" si="21"/>
        <v>28</v>
      </c>
      <c r="N76" s="246">
        <f t="shared" si="22"/>
        <v>30</v>
      </c>
    </row>
    <row r="77" spans="1:22" s="247" customFormat="1">
      <c r="A77" s="244"/>
      <c r="B77" s="269" t="str">
        <f t="shared" si="17"/>
        <v>Thigh sf</v>
      </c>
      <c r="C77" s="269"/>
      <c r="D77" s="269"/>
      <c r="E77" s="269"/>
      <c r="F77" s="269"/>
      <c r="G77" s="245">
        <f t="shared" si="16"/>
        <v>10</v>
      </c>
      <c r="H77" s="245">
        <f t="shared" si="16"/>
        <v>13</v>
      </c>
      <c r="I77" s="245">
        <f t="shared" si="16"/>
        <v>0</v>
      </c>
      <c r="J77" s="224">
        <f t="shared" si="18"/>
        <v>3</v>
      </c>
      <c r="K77" s="224">
        <f t="shared" si="19"/>
        <v>10</v>
      </c>
      <c r="L77" s="224">
        <f t="shared" si="20"/>
        <v>13</v>
      </c>
      <c r="M77" s="246">
        <f t="shared" si="21"/>
        <v>10</v>
      </c>
      <c r="N77" s="246">
        <f t="shared" si="22"/>
        <v>13</v>
      </c>
    </row>
    <row r="78" spans="1:22" s="247" customFormat="1">
      <c r="B78" s="269" t="str">
        <f t="shared" si="17"/>
        <v>Calf sf</v>
      </c>
      <c r="C78" s="269"/>
      <c r="D78" s="269"/>
      <c r="E78" s="269"/>
      <c r="F78" s="269"/>
      <c r="G78" s="245">
        <f t="shared" si="16"/>
        <v>5</v>
      </c>
      <c r="H78" s="245">
        <f t="shared" si="16"/>
        <v>7</v>
      </c>
      <c r="I78" s="245">
        <f t="shared" si="16"/>
        <v>0</v>
      </c>
      <c r="J78" s="224">
        <f t="shared" si="18"/>
        <v>2</v>
      </c>
      <c r="K78" s="224">
        <f t="shared" si="19"/>
        <v>5</v>
      </c>
      <c r="L78" s="224">
        <f t="shared" si="20"/>
        <v>7</v>
      </c>
      <c r="M78" s="246">
        <f t="shared" si="21"/>
        <v>5</v>
      </c>
      <c r="N78" s="246">
        <f t="shared" si="22"/>
        <v>7</v>
      </c>
    </row>
    <row r="79" spans="1:22" s="247" customFormat="1">
      <c r="B79" s="269" t="str">
        <f t="shared" si="17"/>
        <v>Arm girth relaxed</v>
      </c>
      <c r="C79" s="269"/>
      <c r="D79" s="269"/>
      <c r="E79" s="269"/>
      <c r="F79" s="269"/>
      <c r="G79" s="245">
        <f t="shared" si="16"/>
        <v>36</v>
      </c>
      <c r="H79" s="245">
        <f t="shared" si="16"/>
        <v>36.5</v>
      </c>
      <c r="I79" s="245">
        <f t="shared" si="16"/>
        <v>0</v>
      </c>
      <c r="J79" s="224">
        <f t="shared" si="18"/>
        <v>0.5</v>
      </c>
      <c r="K79" s="224">
        <f t="shared" si="19"/>
        <v>36</v>
      </c>
      <c r="L79" s="224">
        <f t="shared" si="20"/>
        <v>36.5</v>
      </c>
      <c r="M79" s="246">
        <f t="shared" si="21"/>
        <v>36</v>
      </c>
      <c r="N79" s="246">
        <f t="shared" si="22"/>
        <v>36.5</v>
      </c>
    </row>
    <row r="80" spans="1:22" s="247" customFormat="1">
      <c r="B80" s="269" t="str">
        <f>B27</f>
        <v>Arm girth flexed and tensed</v>
      </c>
      <c r="C80" s="269"/>
      <c r="D80" s="269"/>
      <c r="E80" s="269"/>
      <c r="F80" s="269"/>
      <c r="G80" s="245">
        <f t="shared" ref="G80:I83" si="23">+G27</f>
        <v>39</v>
      </c>
      <c r="H80" s="245">
        <f t="shared" si="23"/>
        <v>39</v>
      </c>
      <c r="I80" s="245">
        <f t="shared" si="23"/>
        <v>0</v>
      </c>
      <c r="J80" s="224">
        <f t="shared" si="18"/>
        <v>0</v>
      </c>
      <c r="K80" s="224">
        <f t="shared" si="19"/>
        <v>39</v>
      </c>
      <c r="L80" s="224">
        <f t="shared" si="20"/>
        <v>39</v>
      </c>
      <c r="M80" s="246">
        <f t="shared" si="21"/>
        <v>39</v>
      </c>
      <c r="N80" s="246">
        <f t="shared" si="22"/>
        <v>39</v>
      </c>
    </row>
    <row r="81" spans="1:14" s="247" customFormat="1">
      <c r="B81" s="269" t="str">
        <f>B28</f>
        <v>Waist girth</v>
      </c>
      <c r="C81" s="269"/>
      <c r="D81" s="269"/>
      <c r="E81" s="269"/>
      <c r="F81" s="269"/>
      <c r="G81" s="245">
        <f t="shared" si="23"/>
        <v>81</v>
      </c>
      <c r="H81" s="245">
        <f t="shared" si="23"/>
        <v>82</v>
      </c>
      <c r="I81" s="245">
        <f t="shared" si="23"/>
        <v>0</v>
      </c>
      <c r="J81" s="224">
        <f t="shared" si="18"/>
        <v>1</v>
      </c>
      <c r="K81" s="224">
        <f t="shared" si="19"/>
        <v>81</v>
      </c>
      <c r="L81" s="224">
        <f t="shared" si="20"/>
        <v>82</v>
      </c>
      <c r="M81" s="246">
        <f t="shared" si="21"/>
        <v>81</v>
      </c>
      <c r="N81" s="246">
        <f t="shared" si="22"/>
        <v>82</v>
      </c>
    </row>
    <row r="82" spans="1:14" s="247" customFormat="1">
      <c r="B82" s="269" t="str">
        <f>B29</f>
        <v>Hips girth</v>
      </c>
      <c r="C82" s="269"/>
      <c r="D82" s="269"/>
      <c r="E82" s="269"/>
      <c r="F82" s="269"/>
      <c r="G82" s="245">
        <f t="shared" si="23"/>
        <v>94.5</v>
      </c>
      <c r="H82" s="245">
        <f t="shared" si="23"/>
        <v>96</v>
      </c>
      <c r="I82" s="245">
        <f t="shared" si="23"/>
        <v>0</v>
      </c>
      <c r="J82" s="224">
        <f t="shared" si="18"/>
        <v>1.5</v>
      </c>
      <c r="K82" s="224">
        <f t="shared" si="19"/>
        <v>94.5</v>
      </c>
      <c r="L82" s="224">
        <f t="shared" si="20"/>
        <v>96</v>
      </c>
      <c r="M82" s="246">
        <f t="shared" si="21"/>
        <v>94.5</v>
      </c>
      <c r="N82" s="246">
        <f t="shared" si="22"/>
        <v>96</v>
      </c>
    </row>
    <row r="83" spans="1:14">
      <c r="A83" s="247"/>
      <c r="B83" s="269" t="str">
        <f>B30</f>
        <v>Thigh middle girth</v>
      </c>
      <c r="C83" s="269"/>
      <c r="D83" s="269"/>
      <c r="E83" s="269"/>
      <c r="F83" s="269"/>
      <c r="G83" s="245">
        <f t="shared" si="23"/>
        <v>55.5</v>
      </c>
      <c r="H83" s="245">
        <f t="shared" si="23"/>
        <v>57</v>
      </c>
      <c r="I83" s="245">
        <f t="shared" si="23"/>
        <v>0</v>
      </c>
      <c r="J83" s="224">
        <f t="shared" si="18"/>
        <v>1.5</v>
      </c>
      <c r="K83" s="224">
        <f t="shared" si="19"/>
        <v>55.5</v>
      </c>
      <c r="L83" s="224">
        <f t="shared" si="20"/>
        <v>57</v>
      </c>
      <c r="M83" s="246">
        <f t="shared" si="21"/>
        <v>55.5</v>
      </c>
      <c r="N83" s="246">
        <f t="shared" si="22"/>
        <v>57</v>
      </c>
    </row>
    <row r="84" spans="1:14">
      <c r="B84" s="269" t="str">
        <f>B32</f>
        <v>Calf girth</v>
      </c>
      <c r="C84" s="269"/>
      <c r="D84" s="269"/>
      <c r="E84" s="269"/>
      <c r="F84" s="269"/>
      <c r="G84" s="245">
        <f>+G32</f>
        <v>36</v>
      </c>
      <c r="H84" s="245">
        <f>+H32</f>
        <v>36.5</v>
      </c>
      <c r="I84" s="245">
        <f>+I32</f>
        <v>0</v>
      </c>
      <c r="J84" s="224">
        <f t="shared" si="18"/>
        <v>0.5</v>
      </c>
      <c r="K84" s="224">
        <f t="shared" si="19"/>
        <v>36</v>
      </c>
      <c r="L84" s="224">
        <f t="shared" si="20"/>
        <v>36.5</v>
      </c>
      <c r="M84" s="246">
        <f t="shared" si="21"/>
        <v>36</v>
      </c>
      <c r="N84" s="246">
        <f t="shared" si="22"/>
        <v>36.5</v>
      </c>
    </row>
    <row r="85" spans="1:14">
      <c r="B85" s="269" t="str">
        <f>B34</f>
        <v>Humerus breadth</v>
      </c>
      <c r="C85" s="269"/>
      <c r="D85" s="269"/>
      <c r="E85" s="269"/>
      <c r="F85" s="269"/>
      <c r="G85" s="245">
        <f t="shared" ref="G85:I87" si="24">+G34</f>
        <v>0</v>
      </c>
      <c r="H85" s="245">
        <f t="shared" si="24"/>
        <v>0</v>
      </c>
      <c r="I85" s="245">
        <f t="shared" si="24"/>
        <v>0</v>
      </c>
      <c r="J85" s="224">
        <f t="shared" si="18"/>
        <v>0</v>
      </c>
      <c r="K85" s="224">
        <f t="shared" si="19"/>
        <v>0</v>
      </c>
      <c r="L85" s="224">
        <f t="shared" si="20"/>
        <v>0</v>
      </c>
      <c r="M85" s="246">
        <f t="shared" si="21"/>
        <v>0</v>
      </c>
      <c r="N85" s="246">
        <f t="shared" si="22"/>
        <v>0</v>
      </c>
    </row>
    <row r="86" spans="1:14">
      <c r="B86" s="269" t="str">
        <f>B35</f>
        <v>Bi-styloid breadth</v>
      </c>
      <c r="C86" s="269"/>
      <c r="D86" s="269"/>
      <c r="E86" s="269"/>
      <c r="F86" s="269"/>
      <c r="G86" s="245">
        <f t="shared" si="24"/>
        <v>0</v>
      </c>
      <c r="H86" s="245">
        <f t="shared" si="24"/>
        <v>0</v>
      </c>
      <c r="I86" s="245">
        <f t="shared" si="24"/>
        <v>0</v>
      </c>
      <c r="J86" s="224">
        <f t="shared" si="18"/>
        <v>0</v>
      </c>
      <c r="K86" s="224">
        <f t="shared" si="19"/>
        <v>0</v>
      </c>
      <c r="L86" s="224">
        <f t="shared" si="20"/>
        <v>0</v>
      </c>
      <c r="M86" s="246">
        <f t="shared" si="21"/>
        <v>0</v>
      </c>
      <c r="N86" s="246">
        <f t="shared" si="22"/>
        <v>0</v>
      </c>
    </row>
    <row r="87" spans="1:14">
      <c r="B87" s="269" t="str">
        <f>B36</f>
        <v>Femur breadth</v>
      </c>
      <c r="C87" s="269"/>
      <c r="D87" s="269"/>
      <c r="E87" s="269"/>
      <c r="F87" s="269"/>
      <c r="G87" s="245">
        <f t="shared" si="24"/>
        <v>0</v>
      </c>
      <c r="H87" s="245">
        <f t="shared" si="24"/>
        <v>0</v>
      </c>
      <c r="I87" s="245">
        <f t="shared" si="24"/>
        <v>0</v>
      </c>
      <c r="J87" s="224">
        <f t="shared" si="18"/>
        <v>0</v>
      </c>
      <c r="K87" s="224">
        <f t="shared" si="19"/>
        <v>0</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4PXQy4DThhOiQfBmGNINHVLjWyxoDxYsH+u2+vyzfvrbuQm3yRH/GYB43b7OW2MzUki6bYIW+HdfUzS2MF/cFw==" saltValue="ODaR6qPNUYA5l1DrqpH84w=="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A91"/>
  <sheetViews>
    <sheetView topLeftCell="A4" zoomScaleNormal="75" zoomScaleSheetLayoutView="75" workbookViewId="0">
      <selection activeCell="G13" sqref="G13"/>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77</v>
      </c>
      <c r="H4" s="71"/>
      <c r="I4" s="72"/>
      <c r="J4" s="118"/>
      <c r="K4" s="118"/>
      <c r="L4" s="111"/>
      <c r="M4" s="111"/>
      <c r="N4" s="111"/>
      <c r="O4" s="104"/>
      <c r="P4" s="104"/>
      <c r="Q4" s="113"/>
      <c r="R4" s="105" t="str">
        <f t="shared" ref="R4:R11" si="0">+B4</f>
        <v>Name</v>
      </c>
      <c r="S4" s="119"/>
      <c r="T4" s="119"/>
      <c r="U4" s="120" t="str">
        <f t="shared" ref="U4:U11" si="1">+G4</f>
        <v xml:space="preserve">Chiara </v>
      </c>
      <c r="V4" s="107"/>
      <c r="W4" s="107"/>
      <c r="X4" s="121"/>
      <c r="Y4" s="107"/>
      <c r="Z4" s="108"/>
      <c r="AA4" s="115"/>
    </row>
    <row r="5" spans="1:27" s="109" customFormat="1">
      <c r="B5" s="116" t="str">
        <f>IF(Info!D34,"Surname","Apellidos")</f>
        <v>Surname</v>
      </c>
      <c r="C5" s="116"/>
      <c r="D5" s="116"/>
      <c r="E5" s="110"/>
      <c r="F5" s="112"/>
      <c r="G5" s="81" t="s">
        <v>78</v>
      </c>
      <c r="H5" s="73"/>
      <c r="I5" s="74"/>
      <c r="J5" s="122"/>
      <c r="K5" s="122"/>
      <c r="L5" s="122"/>
      <c r="M5" s="122"/>
      <c r="N5" s="123"/>
      <c r="O5" s="104"/>
      <c r="P5" s="104"/>
      <c r="Q5" s="113"/>
      <c r="R5" s="113" t="str">
        <f t="shared" si="0"/>
        <v>Surname</v>
      </c>
      <c r="S5" s="124"/>
      <c r="T5" s="124"/>
      <c r="U5" s="125" t="str">
        <f t="shared" si="1"/>
        <v>Parodi</v>
      </c>
      <c r="V5" s="126"/>
      <c r="W5" s="126"/>
      <c r="X5" s="127"/>
      <c r="Y5" s="126"/>
      <c r="Z5" s="115"/>
      <c r="AA5" s="115"/>
    </row>
    <row r="6" spans="1:27" s="109" customFormat="1">
      <c r="B6" s="116" t="str">
        <f>IF(Info!D34,"Country","País")</f>
        <v>Country</v>
      </c>
      <c r="C6" s="116"/>
      <c r="D6" s="116"/>
      <c r="E6" s="110"/>
      <c r="F6" s="122"/>
      <c r="G6" s="81" t="s">
        <v>79</v>
      </c>
      <c r="H6" s="75"/>
      <c r="I6" s="76"/>
      <c r="J6" s="111"/>
      <c r="K6" s="111"/>
      <c r="L6" s="111"/>
      <c r="M6" s="111"/>
      <c r="N6" s="111"/>
      <c r="O6" s="104"/>
      <c r="P6" s="104"/>
      <c r="Q6" s="113"/>
      <c r="R6" s="113" t="str">
        <f t="shared" si="0"/>
        <v>Country</v>
      </c>
      <c r="S6" s="124"/>
      <c r="T6" s="124"/>
      <c r="U6" s="125" t="str">
        <f t="shared" si="1"/>
        <v>Peru</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2</v>
      </c>
      <c r="H8" s="74"/>
      <c r="I8" s="77"/>
      <c r="J8" s="129"/>
      <c r="K8" s="129"/>
      <c r="L8" s="129"/>
      <c r="M8" s="129"/>
      <c r="N8" s="123"/>
      <c r="O8" s="104"/>
      <c r="P8" s="104"/>
      <c r="Q8" s="113"/>
      <c r="R8" s="113" t="str">
        <f t="shared" si="0"/>
        <v>Sex (male=1, female=2)</v>
      </c>
      <c r="S8" s="124"/>
      <c r="T8" s="124"/>
      <c r="U8" s="125">
        <f t="shared" si="1"/>
        <v>2</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44601</v>
      </c>
      <c r="H10" s="76"/>
      <c r="I10" s="76"/>
      <c r="J10" s="111"/>
      <c r="K10" s="111"/>
      <c r="L10" s="111"/>
      <c r="M10" s="111"/>
      <c r="N10" s="122"/>
      <c r="O10" s="104"/>
      <c r="P10" s="104"/>
      <c r="Q10" s="113"/>
      <c r="R10" s="113" t="str">
        <f t="shared" si="0"/>
        <v>Date of Measurement</v>
      </c>
      <c r="S10" s="124"/>
      <c r="T10" s="124"/>
      <c r="U10" s="131">
        <f t="shared" si="1"/>
        <v>44601</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v>35527</v>
      </c>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35527</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c r="H13" s="84"/>
      <c r="I13" s="84"/>
      <c r="J13" s="150"/>
      <c r="K13" s="151" t="e">
        <f>+(H13-G13)/(AVERAGE(G13:H13))</f>
        <v>#DIV/0!</v>
      </c>
      <c r="L13" s="152" t="e">
        <f>IF(ABS(K13)&gt;1%,"Yes","No")</f>
        <v>#DIV/0!</v>
      </c>
      <c r="M13" s="150"/>
      <c r="N13" s="153" t="e">
        <f t="shared" ref="N13:N25" si="2">IF(I13=0,AVERAGE(G13,H13),MEDIAN(G13,H13,I13))</f>
        <v>#DIV/0!</v>
      </c>
      <c r="O13" s="154"/>
      <c r="P13" s="154"/>
      <c r="Q13" s="155"/>
      <c r="R13" s="156" t="str">
        <f t="shared" ref="R13:R36" si="3">+B13</f>
        <v>Mass</v>
      </c>
      <c r="S13" s="157"/>
      <c r="T13" s="157"/>
      <c r="U13" s="158" t="e">
        <f t="shared" ref="U13:U25" si="4">+N13</f>
        <v>#DIV/0!</v>
      </c>
      <c r="V13" s="159" t="s">
        <v>25</v>
      </c>
      <c r="W13" s="160" t="e">
        <f>1/8.6*(+U13*((170.18/U$14)^3)-64.58)</f>
        <v>#DIV/0!</v>
      </c>
      <c r="X13" s="121"/>
      <c r="Y13" s="107"/>
      <c r="Z13" s="108"/>
      <c r="AA13" s="115"/>
    </row>
    <row r="14" spans="1:27" s="109" customFormat="1">
      <c r="B14" s="161" t="str">
        <f>IF(Info!D34,"Stature","Talla")</f>
        <v>Stature</v>
      </c>
      <c r="C14" s="116"/>
      <c r="D14" s="116"/>
      <c r="E14" s="122"/>
      <c r="F14" s="110"/>
      <c r="G14" s="85">
        <v>153.5</v>
      </c>
      <c r="H14" s="85"/>
      <c r="I14" s="85"/>
      <c r="J14" s="134"/>
      <c r="K14" s="162">
        <f t="shared" ref="K14:K34" si="5">+(H14-G14)/(AVERAGE(G14:H14))</f>
        <v>-1</v>
      </c>
      <c r="L14" s="163" t="str">
        <f>IF(ABS(K14)&gt;1%,"Yes","No")</f>
        <v>Yes</v>
      </c>
      <c r="M14" s="134"/>
      <c r="N14" s="164">
        <f t="shared" si="2"/>
        <v>153.5</v>
      </c>
      <c r="O14" s="154"/>
      <c r="P14" s="154"/>
      <c r="Q14" s="155"/>
      <c r="R14" s="155" t="str">
        <f t="shared" si="3"/>
        <v>Stature</v>
      </c>
      <c r="S14" s="165"/>
      <c r="T14" s="165"/>
      <c r="U14" s="166">
        <f t="shared" si="4"/>
        <v>153.5</v>
      </c>
      <c r="V14" s="167" t="s">
        <v>26</v>
      </c>
      <c r="W14" s="132"/>
      <c r="X14" s="132"/>
      <c r="Y14" s="133"/>
      <c r="Z14" s="115"/>
      <c r="AA14" s="115"/>
    </row>
    <row r="15" spans="1:27" s="109" customFormat="1">
      <c r="B15" s="161" t="str">
        <f>IF(Info!D34,"Sitting height","Talla sentado")</f>
        <v>Sitting height</v>
      </c>
      <c r="C15" s="116"/>
      <c r="D15" s="116"/>
      <c r="E15" s="122"/>
      <c r="F15" s="110"/>
      <c r="G15" s="87"/>
      <c r="H15" s="87"/>
      <c r="I15" s="87"/>
      <c r="J15" s="134"/>
      <c r="K15" s="162" t="e">
        <f t="shared" si="5"/>
        <v>#DIV/0!</v>
      </c>
      <c r="L15" s="163" t="e">
        <f>IF(ABS(K15)&gt;1%,"Yes","No")</f>
        <v>#DIV/0!</v>
      </c>
      <c r="M15" s="134"/>
      <c r="N15" s="164" t="e">
        <f t="shared" si="2"/>
        <v>#DIV/0!</v>
      </c>
      <c r="O15" s="154"/>
      <c r="P15" s="154"/>
      <c r="Q15" s="155"/>
      <c r="R15" s="155" t="str">
        <f t="shared" si="3"/>
        <v>Sitting height</v>
      </c>
      <c r="S15" s="165"/>
      <c r="T15" s="165"/>
      <c r="U15" s="166" t="e">
        <f t="shared" si="4"/>
        <v>#DIV/0!</v>
      </c>
      <c r="V15" s="167" t="s">
        <v>26</v>
      </c>
      <c r="W15" s="32" t="e">
        <f>1/4.5*(+U15*((170.18/U$14)^1)-89.92)</f>
        <v>#DIV/0!</v>
      </c>
      <c r="X15" s="132"/>
      <c r="Y15" s="133"/>
      <c r="Z15" s="115"/>
      <c r="AA15" s="115"/>
    </row>
    <row r="16" spans="1:27" s="109" customFormat="1" ht="13.8" thickBot="1">
      <c r="B16" s="161" t="str">
        <f>IF(Info!D34,"Arm Span","Envergadura de brazos")</f>
        <v>Arm Span</v>
      </c>
      <c r="C16" s="116"/>
      <c r="D16" s="116"/>
      <c r="E16" s="122"/>
      <c r="F16" s="110"/>
      <c r="G16" s="87"/>
      <c r="H16" s="87"/>
      <c r="I16" s="87"/>
      <c r="J16" s="134"/>
      <c r="K16" s="162" t="e">
        <f t="shared" si="5"/>
        <v>#DIV/0!</v>
      </c>
      <c r="L16" s="163" t="e">
        <f>IF(ABS(K16)&gt;1%,"Yes","No")</f>
        <v>#DIV/0!</v>
      </c>
      <c r="M16" s="134"/>
      <c r="N16" s="164" t="e">
        <f t="shared" si="2"/>
        <v>#DIV/0!</v>
      </c>
      <c r="O16" s="154"/>
      <c r="P16" s="154"/>
      <c r="Q16" s="155"/>
      <c r="R16" s="168" t="str">
        <f t="shared" si="3"/>
        <v>Arm Span</v>
      </c>
      <c r="S16" s="169"/>
      <c r="T16" s="169"/>
      <c r="U16" s="170" t="e">
        <f t="shared" si="4"/>
        <v>#DIV/0!</v>
      </c>
      <c r="V16" s="171" t="s">
        <v>26</v>
      </c>
      <c r="W16" s="33" t="e">
        <f>1/7.41*(+U16*((170.18/U$14)^1)-172.35)</f>
        <v>#DIV/0!</v>
      </c>
      <c r="X16" s="172"/>
      <c r="Y16" s="173"/>
      <c r="Z16" s="174"/>
      <c r="AA16" s="115"/>
    </row>
    <row r="17" spans="1:27" ht="18" customHeight="1" thickTop="1">
      <c r="A17" s="109"/>
      <c r="B17" s="146" t="str">
        <f>IF(Info!D34,"Triceps sf","PL Tríceps")</f>
        <v>Triceps sf</v>
      </c>
      <c r="C17" s="147"/>
      <c r="D17" s="147"/>
      <c r="E17" s="148"/>
      <c r="F17" s="149"/>
      <c r="G17" s="84">
        <v>19</v>
      </c>
      <c r="H17" s="84"/>
      <c r="I17" s="84">
        <v>17</v>
      </c>
      <c r="J17" s="150"/>
      <c r="K17" s="151">
        <f t="shared" si="5"/>
        <v>-1</v>
      </c>
      <c r="L17" s="152" t="str">
        <f t="shared" ref="L17:L24" si="6">IF(ABS(K17)&gt;5%,"Yes","No")</f>
        <v>Yes</v>
      </c>
      <c r="M17" s="150"/>
      <c r="N17" s="153">
        <f t="shared" si="2"/>
        <v>18</v>
      </c>
      <c r="O17" s="154"/>
      <c r="P17" s="154"/>
      <c r="Q17" s="155"/>
      <c r="R17" s="156" t="str">
        <f t="shared" si="3"/>
        <v>Triceps sf</v>
      </c>
      <c r="S17" s="157"/>
      <c r="T17" s="157"/>
      <c r="U17" s="175">
        <f t="shared" si="4"/>
        <v>18</v>
      </c>
      <c r="V17" s="176" t="s">
        <v>27</v>
      </c>
      <c r="W17" s="177">
        <f>1/4.47*(+U17*((170.18/U$14)^1)-15.4)</f>
        <v>1.0192306290944333</v>
      </c>
      <c r="X17" s="178"/>
      <c r="Y17" s="176"/>
      <c r="Z17" s="179"/>
      <c r="AA17" s="145"/>
    </row>
    <row r="18" spans="1:27" ht="18" customHeight="1">
      <c r="B18" s="161" t="str">
        <f>IF(Info!D34,"Subscapular sf","PL Subescapular")</f>
        <v>Subscapular sf</v>
      </c>
      <c r="C18" s="116"/>
      <c r="D18" s="116"/>
      <c r="E18" s="122"/>
      <c r="F18" s="110"/>
      <c r="G18" s="85">
        <v>15</v>
      </c>
      <c r="H18" s="85"/>
      <c r="I18" s="85"/>
      <c r="J18" s="134"/>
      <c r="K18" s="162">
        <f t="shared" si="5"/>
        <v>-1</v>
      </c>
      <c r="L18" s="163" t="str">
        <f t="shared" si="6"/>
        <v>Yes</v>
      </c>
      <c r="M18" s="134"/>
      <c r="N18" s="164">
        <f t="shared" si="2"/>
        <v>15</v>
      </c>
      <c r="O18" s="154"/>
      <c r="P18" s="154"/>
      <c r="Q18" s="155"/>
      <c r="R18" s="155" t="str">
        <f t="shared" si="3"/>
        <v>Subscapular sf</v>
      </c>
      <c r="S18" s="165"/>
      <c r="T18" s="165"/>
      <c r="U18" s="180">
        <f t="shared" si="4"/>
        <v>15</v>
      </c>
      <c r="V18" s="143" t="s">
        <v>27</v>
      </c>
      <c r="W18" s="32">
        <f>1/5.07*(+U18*((170.18/U$14)^1)-17.2)</f>
        <v>-0.11243246021497047</v>
      </c>
      <c r="X18" s="181"/>
      <c r="Y18" s="143"/>
      <c r="Z18" s="145"/>
      <c r="AA18" s="145"/>
    </row>
    <row r="19" spans="1:27" ht="18" customHeight="1">
      <c r="B19" s="161" t="str">
        <f>IF(Info!D34,"Biceps sf","PL Bíceps")</f>
        <v>Biceps sf</v>
      </c>
      <c r="C19" s="116"/>
      <c r="D19" s="116"/>
      <c r="E19" s="122"/>
      <c r="F19" s="110"/>
      <c r="G19" s="85">
        <v>7</v>
      </c>
      <c r="H19" s="85"/>
      <c r="I19" s="85"/>
      <c r="J19" s="134"/>
      <c r="K19" s="182">
        <f t="shared" si="5"/>
        <v>-1</v>
      </c>
      <c r="L19" s="163" t="str">
        <f t="shared" si="6"/>
        <v>Yes</v>
      </c>
      <c r="M19" s="134"/>
      <c r="N19" s="164">
        <f t="shared" si="2"/>
        <v>7</v>
      </c>
      <c r="O19" s="154"/>
      <c r="P19" s="154"/>
      <c r="Q19" s="155"/>
      <c r="R19" s="155" t="str">
        <f t="shared" si="3"/>
        <v>Biceps sf</v>
      </c>
      <c r="S19" s="165"/>
      <c r="T19" s="165"/>
      <c r="U19" s="180">
        <f t="shared" si="4"/>
        <v>7</v>
      </c>
      <c r="V19" s="143" t="s">
        <v>27</v>
      </c>
      <c r="W19" s="32">
        <f>1/2*(+U19*((170.18/U$14)^1)-8)</f>
        <v>-0.11967426710097717</v>
      </c>
      <c r="X19" s="181"/>
      <c r="Y19" s="143"/>
      <c r="Z19" s="145"/>
      <c r="AA19" s="145"/>
    </row>
    <row r="20" spans="1:27" ht="18" customHeight="1">
      <c r="B20" s="161" t="str">
        <f>IF(Info!D34,"Iliac crest sf","PL Cresta Iliaca")</f>
        <v>Iliac crest sf</v>
      </c>
      <c r="C20" s="116"/>
      <c r="D20" s="116"/>
      <c r="E20" s="122"/>
      <c r="F20" s="110"/>
      <c r="G20" s="85">
        <v>25</v>
      </c>
      <c r="H20" s="85"/>
      <c r="I20" s="85"/>
      <c r="J20" s="134"/>
      <c r="K20" s="182">
        <f t="shared" si="5"/>
        <v>-1</v>
      </c>
      <c r="L20" s="163" t="str">
        <f t="shared" si="6"/>
        <v>Yes</v>
      </c>
      <c r="M20" s="134"/>
      <c r="N20" s="164">
        <f t="shared" si="2"/>
        <v>25</v>
      </c>
      <c r="O20" s="154"/>
      <c r="P20" s="154"/>
      <c r="Q20" s="155"/>
      <c r="R20" s="155" t="str">
        <f t="shared" si="3"/>
        <v>Iliac crest sf</v>
      </c>
      <c r="S20" s="165"/>
      <c r="T20" s="165"/>
      <c r="U20" s="180">
        <f t="shared" si="4"/>
        <v>25</v>
      </c>
      <c r="V20" s="143" t="s">
        <v>28</v>
      </c>
      <c r="W20" s="32">
        <f>1/6.8*(+U20*((170.18/U$14)^1)-22.4)</f>
        <v>0.78185476144855393</v>
      </c>
      <c r="X20" s="181"/>
      <c r="Y20" s="143"/>
      <c r="Z20" s="145"/>
      <c r="AA20" s="145"/>
    </row>
    <row r="21" spans="1:27" ht="18" customHeight="1">
      <c r="B21" s="161" t="str">
        <f>IF(Info!D34,"Supraspinale sf","PL Supraespinal")</f>
        <v>Supraspinale sf</v>
      </c>
      <c r="C21" s="116"/>
      <c r="D21" s="116"/>
      <c r="E21" s="122"/>
      <c r="F21" s="110"/>
      <c r="G21" s="85">
        <v>12</v>
      </c>
      <c r="H21" s="85"/>
      <c r="I21" s="85"/>
      <c r="J21" s="134"/>
      <c r="K21" s="162">
        <f t="shared" si="5"/>
        <v>-1</v>
      </c>
      <c r="L21" s="163" t="str">
        <f t="shared" si="6"/>
        <v>Yes</v>
      </c>
      <c r="M21" s="134"/>
      <c r="N21" s="164">
        <f t="shared" si="2"/>
        <v>12</v>
      </c>
      <c r="O21" s="154"/>
      <c r="P21" s="154"/>
      <c r="Q21" s="155"/>
      <c r="R21" s="155" t="str">
        <f t="shared" si="3"/>
        <v>Supraspinale sf</v>
      </c>
      <c r="S21" s="165"/>
      <c r="T21" s="165"/>
      <c r="U21" s="180">
        <f t="shared" si="4"/>
        <v>12</v>
      </c>
      <c r="V21" s="143" t="s">
        <v>27</v>
      </c>
      <c r="W21" s="32">
        <f>1/4.47*(+U21*((170.18/U$14)^1)-15.4)</f>
        <v>-0.46890963280356213</v>
      </c>
      <c r="X21" s="181"/>
      <c r="Y21" s="143"/>
      <c r="Z21" s="145"/>
      <c r="AA21" s="145"/>
    </row>
    <row r="22" spans="1:27" ht="18" customHeight="1">
      <c r="B22" s="161" t="str">
        <f>IF(Info!D34,"Abdominal sf","PL Abdominal")</f>
        <v>Abdominal sf</v>
      </c>
      <c r="C22" s="116"/>
      <c r="D22" s="116"/>
      <c r="E22" s="122"/>
      <c r="F22" s="110"/>
      <c r="G22" s="85">
        <v>21</v>
      </c>
      <c r="H22" s="85"/>
      <c r="I22" s="85"/>
      <c r="J22" s="134"/>
      <c r="K22" s="162">
        <f t="shared" si="5"/>
        <v>-1</v>
      </c>
      <c r="L22" s="163" t="str">
        <f t="shared" si="6"/>
        <v>Yes</v>
      </c>
      <c r="M22" s="134"/>
      <c r="N22" s="164">
        <f t="shared" si="2"/>
        <v>21</v>
      </c>
      <c r="O22" s="154"/>
      <c r="P22" s="154"/>
      <c r="Q22" s="155"/>
      <c r="R22" s="155" t="str">
        <f t="shared" si="3"/>
        <v>Abdominal sf</v>
      </c>
      <c r="S22" s="165"/>
      <c r="T22" s="165"/>
      <c r="U22" s="180">
        <f t="shared" si="4"/>
        <v>21</v>
      </c>
      <c r="V22" s="143" t="s">
        <v>27</v>
      </c>
      <c r="W22" s="32">
        <f>1/7.78*(+U22*((170.18/U$14)^1)-25.4)</f>
        <v>-0.27224236537350394</v>
      </c>
      <c r="X22" s="181"/>
      <c r="Y22" s="143"/>
      <c r="Z22" s="145"/>
      <c r="AA22" s="145"/>
    </row>
    <row r="23" spans="1:27" ht="18" customHeight="1">
      <c r="B23" s="161" t="str">
        <f>IF(Info!D34,"Thigh sf","PL Muslo")</f>
        <v>Thigh sf</v>
      </c>
      <c r="C23" s="116"/>
      <c r="D23" s="116"/>
      <c r="E23" s="122"/>
      <c r="F23" s="110"/>
      <c r="G23" s="85">
        <v>30</v>
      </c>
      <c r="H23" s="85"/>
      <c r="I23" s="85"/>
      <c r="J23" s="134"/>
      <c r="K23" s="182">
        <f t="shared" si="5"/>
        <v>-1</v>
      </c>
      <c r="L23" s="163" t="str">
        <f t="shared" si="6"/>
        <v>Yes</v>
      </c>
      <c r="M23" s="134"/>
      <c r="N23" s="164">
        <f t="shared" si="2"/>
        <v>30</v>
      </c>
      <c r="O23" s="154"/>
      <c r="P23" s="154"/>
      <c r="Q23" s="155"/>
      <c r="R23" s="155" t="str">
        <f t="shared" si="3"/>
        <v>Thigh sf</v>
      </c>
      <c r="S23" s="165"/>
      <c r="T23" s="165"/>
      <c r="U23" s="180">
        <f t="shared" si="4"/>
        <v>30</v>
      </c>
      <c r="V23" s="143" t="s">
        <v>27</v>
      </c>
      <c r="W23" s="32">
        <f>1/8.33*(+U23*((170.18/U$14)^1)-27)</f>
        <v>0.75149277952223259</v>
      </c>
      <c r="X23" s="181"/>
      <c r="Y23" s="143"/>
      <c r="Z23" s="145"/>
      <c r="AA23" s="145"/>
    </row>
    <row r="24" spans="1:27" ht="18" customHeight="1" thickBot="1">
      <c r="B24" s="183" t="str">
        <f>IF(Info!D34,"Calf sf","PL Pierna")</f>
        <v>Calf sf</v>
      </c>
      <c r="C24" s="184"/>
      <c r="D24" s="184"/>
      <c r="E24" s="185"/>
      <c r="F24" s="186"/>
      <c r="G24" s="86">
        <v>15</v>
      </c>
      <c r="H24" s="86"/>
      <c r="I24" s="86"/>
      <c r="J24" s="187"/>
      <c r="K24" s="182">
        <f t="shared" si="5"/>
        <v>-1</v>
      </c>
      <c r="L24" s="188" t="str">
        <f t="shared" si="6"/>
        <v>Yes</v>
      </c>
      <c r="M24" s="187"/>
      <c r="N24" s="189">
        <f t="shared" si="2"/>
        <v>15</v>
      </c>
      <c r="O24" s="154"/>
      <c r="P24" s="154"/>
      <c r="Q24" s="155"/>
      <c r="R24" s="168" t="str">
        <f t="shared" si="3"/>
        <v>Calf sf</v>
      </c>
      <c r="S24" s="169"/>
      <c r="T24" s="169"/>
      <c r="U24" s="170">
        <f t="shared" si="4"/>
        <v>15</v>
      </c>
      <c r="V24" s="173" t="s">
        <v>27</v>
      </c>
      <c r="W24" s="33">
        <f>1/4.67*(+U24*((170.18/U$14)^1)-16)</f>
        <v>0.1348966652484152</v>
      </c>
      <c r="X24" s="172"/>
      <c r="Y24" s="173"/>
      <c r="Z24" s="174"/>
      <c r="AA24" s="145"/>
    </row>
    <row r="25" spans="1:27" ht="18" customHeight="1">
      <c r="B25" s="161" t="str">
        <f>IF(Info!D34,"Arm girth relaxed","PR Brazo relajado")</f>
        <v>Arm girth relaxed</v>
      </c>
      <c r="C25" s="116"/>
      <c r="D25" s="116"/>
      <c r="E25" s="122"/>
      <c r="F25" s="110"/>
      <c r="G25" s="85">
        <v>30</v>
      </c>
      <c r="H25" s="85"/>
      <c r="I25" s="85"/>
      <c r="J25" s="134"/>
      <c r="K25" s="151">
        <f t="shared" si="5"/>
        <v>-1</v>
      </c>
      <c r="L25" s="163" t="str">
        <f>IF(ABS(K25)&gt;1%,"Yes","No")</f>
        <v>Yes</v>
      </c>
      <c r="M25" s="134"/>
      <c r="N25" s="164">
        <f t="shared" si="2"/>
        <v>30</v>
      </c>
      <c r="O25" s="154"/>
      <c r="P25" s="154"/>
      <c r="Q25" s="155"/>
      <c r="R25" s="155" t="str">
        <f t="shared" si="3"/>
        <v>Arm girth relaxed</v>
      </c>
      <c r="S25" s="165"/>
      <c r="T25" s="165"/>
      <c r="U25" s="180">
        <f t="shared" si="4"/>
        <v>30</v>
      </c>
      <c r="V25" s="143" t="s">
        <v>26</v>
      </c>
      <c r="W25" s="32">
        <f>1/2.33*(+U25*((170.18/U$14)^1)-26.89)</f>
        <v>2.7338776194936472</v>
      </c>
      <c r="X25" s="181"/>
      <c r="Y25" s="143"/>
      <c r="Z25" s="145"/>
      <c r="AA25" s="145"/>
    </row>
    <row r="26" spans="1:27" ht="18" customHeight="1">
      <c r="B26" s="190" t="str">
        <f>IF(Info!D34,"Corrected arm girth","PR Brazo corregido")</f>
        <v>Corrected arm girth</v>
      </c>
      <c r="C26" s="191"/>
      <c r="D26" s="191"/>
      <c r="E26" s="192"/>
      <c r="F26" s="193"/>
      <c r="G26" s="79"/>
      <c r="H26" s="79"/>
      <c r="I26" s="79"/>
      <c r="J26" s="194"/>
      <c r="K26" s="195"/>
      <c r="L26" s="196"/>
      <c r="M26" s="194"/>
      <c r="N26" s="197"/>
      <c r="O26" s="154"/>
      <c r="P26" s="154"/>
      <c r="Q26" s="155"/>
      <c r="R26" s="155" t="str">
        <f t="shared" si="3"/>
        <v>Corrected arm girth</v>
      </c>
      <c r="S26" s="165"/>
      <c r="T26" s="165"/>
      <c r="U26" s="198">
        <f>+U25-(PI()*U17/10)</f>
        <v>24.345133223538372</v>
      </c>
      <c r="V26" s="143" t="s">
        <v>26</v>
      </c>
      <c r="W26" s="32">
        <f>1/1.91*(+U26*((170.18/U$14)^1)-22.05)</f>
        <v>2.5866936302394739</v>
      </c>
      <c r="X26" s="181"/>
      <c r="Y26" s="143"/>
      <c r="Z26" s="145"/>
      <c r="AA26" s="145"/>
    </row>
    <row r="27" spans="1:27" ht="18" customHeight="1">
      <c r="B27" s="199" t="str">
        <f>IF(Info!D34,"Arm girth flexed and tensed","PR Brazo flexionado y contraído")</f>
        <v>Arm girth flexed and tensed</v>
      </c>
      <c r="C27" s="116"/>
      <c r="D27" s="116"/>
      <c r="E27" s="122"/>
      <c r="F27" s="110"/>
      <c r="G27" s="85">
        <v>30</v>
      </c>
      <c r="H27" s="85"/>
      <c r="I27" s="85"/>
      <c r="J27" s="134"/>
      <c r="K27" s="182">
        <f t="shared" si="5"/>
        <v>-1</v>
      </c>
      <c r="L27" s="163" t="str">
        <f>IF(ABS(K27)&gt;1%,"Yes","No")</f>
        <v>Yes</v>
      </c>
      <c r="M27" s="134"/>
      <c r="N27" s="164">
        <f>IF(I27=0,AVERAGE(G27,H27),MEDIAN(G27,H27,I27))</f>
        <v>30</v>
      </c>
      <c r="O27" s="154"/>
      <c r="P27" s="154"/>
      <c r="Q27" s="155"/>
      <c r="R27" s="155" t="str">
        <f t="shared" si="3"/>
        <v>Arm girth flexed and tensed</v>
      </c>
      <c r="S27" s="165"/>
      <c r="T27" s="165"/>
      <c r="U27" s="180">
        <f>+N27</f>
        <v>30</v>
      </c>
      <c r="V27" s="143" t="s">
        <v>26</v>
      </c>
      <c r="W27" s="32">
        <f>1/2.37*(+U27*((170.18/U$14)^1)-29.41)</f>
        <v>1.6244450858313069</v>
      </c>
      <c r="X27" s="181"/>
      <c r="Y27" s="143"/>
      <c r="Z27" s="145"/>
      <c r="AA27" s="145"/>
    </row>
    <row r="28" spans="1:27" ht="18" customHeight="1">
      <c r="B28" s="200" t="str">
        <f>IF(Info!D34,"Waist girth","PR Cintura")</f>
        <v>Waist girth</v>
      </c>
      <c r="C28" s="116"/>
      <c r="D28" s="116"/>
      <c r="E28" s="122"/>
      <c r="F28" s="110"/>
      <c r="G28" s="85">
        <v>73</v>
      </c>
      <c r="H28" s="85"/>
      <c r="I28" s="85"/>
      <c r="J28" s="134"/>
      <c r="K28" s="182">
        <f t="shared" si="5"/>
        <v>-1</v>
      </c>
      <c r="L28" s="163" t="str">
        <f>IF(ABS(K28)&gt;1%,"Yes","No")</f>
        <v>Yes</v>
      </c>
      <c r="M28" s="134"/>
      <c r="N28" s="164">
        <f>IF(I28=0,AVERAGE(G28,H28),MEDIAN(G28,H28,I28))</f>
        <v>73</v>
      </c>
      <c r="O28" s="154"/>
      <c r="P28" s="154"/>
      <c r="Q28" s="155"/>
      <c r="R28" s="155" t="str">
        <f t="shared" si="3"/>
        <v>Waist girth</v>
      </c>
      <c r="S28" s="165"/>
      <c r="T28" s="165"/>
      <c r="U28" s="180">
        <f>+N28</f>
        <v>73</v>
      </c>
      <c r="V28" s="143" t="s">
        <v>26</v>
      </c>
      <c r="W28" s="32">
        <f>1/4.45*(+U28*((170.18/U$14)^1)-71.91)</f>
        <v>2.027529919847749</v>
      </c>
      <c r="X28" s="181"/>
      <c r="Y28" s="143"/>
      <c r="Z28" s="145"/>
      <c r="AA28" s="145"/>
    </row>
    <row r="29" spans="1:27" ht="18" customHeight="1">
      <c r="B29" s="200" t="str">
        <f>IF(Info!D34,"Hips girth","PR Caderas")</f>
        <v>Hips girth</v>
      </c>
      <c r="C29" s="116"/>
      <c r="D29" s="116"/>
      <c r="E29" s="122"/>
      <c r="F29" s="110"/>
      <c r="G29" s="85">
        <v>92</v>
      </c>
      <c r="H29" s="85"/>
      <c r="I29" s="85"/>
      <c r="J29" s="134"/>
      <c r="K29" s="182">
        <f t="shared" si="5"/>
        <v>-1</v>
      </c>
      <c r="L29" s="163" t="str">
        <f>IF(ABS(K29)&gt;1%,"Yes","No")</f>
        <v>Yes</v>
      </c>
      <c r="M29" s="134"/>
      <c r="N29" s="164">
        <f>IF(I29=0,AVERAGE(G29,H29),MEDIAN(G29,H29,I29))</f>
        <v>92</v>
      </c>
      <c r="O29" s="154"/>
      <c r="P29" s="154"/>
      <c r="Q29" s="155"/>
      <c r="R29" s="155" t="str">
        <f t="shared" si="3"/>
        <v>Hips girth</v>
      </c>
      <c r="S29" s="165"/>
      <c r="T29" s="165"/>
      <c r="U29" s="180">
        <f>+N29</f>
        <v>92</v>
      </c>
      <c r="V29" s="143" t="s">
        <v>26</v>
      </c>
      <c r="W29" s="32">
        <f>1/5.58*(+U29*((170.18/U$14)^1)-94.67)</f>
        <v>1.3131063710553041</v>
      </c>
      <c r="X29" s="181"/>
      <c r="Y29" s="143"/>
      <c r="Z29" s="145"/>
      <c r="AA29" s="145"/>
    </row>
    <row r="30" spans="1:27" ht="18" customHeight="1">
      <c r="B30" s="200" t="str">
        <f>IF(Info!D34,"Thigh middle girth","PR Muslo medio")</f>
        <v>Thigh middle girth</v>
      </c>
      <c r="C30" s="116"/>
      <c r="D30" s="116"/>
      <c r="E30" s="122"/>
      <c r="F30" s="110"/>
      <c r="G30" s="85">
        <v>52</v>
      </c>
      <c r="H30" s="85"/>
      <c r="I30" s="85"/>
      <c r="J30" s="134"/>
      <c r="K30" s="182">
        <f>+(H30-G30)/(AVERAGE(G30:H30))</f>
        <v>-1</v>
      </c>
      <c r="L30" s="163" t="str">
        <f>IF(ABS(K30)&gt;1%,"Yes","No")</f>
        <v>Yes</v>
      </c>
      <c r="M30" s="134"/>
      <c r="N30" s="164">
        <f>IF(I30=0,AVERAGE(G30,H30),MEDIAN(G30,H30,I30))</f>
        <v>52</v>
      </c>
      <c r="O30" s="154"/>
      <c r="P30" s="154"/>
      <c r="Q30" s="155"/>
      <c r="R30" s="155" t="str">
        <f t="shared" si="3"/>
        <v>Thigh middle girth</v>
      </c>
      <c r="S30" s="165"/>
      <c r="T30" s="165"/>
      <c r="U30" s="180">
        <f>+N30</f>
        <v>52</v>
      </c>
      <c r="V30" s="143" t="s">
        <v>26</v>
      </c>
      <c r="W30" s="32">
        <f>1/4.56*(+U30*((170.18/U$14)^1)-53.2)</f>
        <v>0.97599862849305685</v>
      </c>
      <c r="X30" s="181"/>
      <c r="Y30" s="143"/>
      <c r="Z30" s="145"/>
      <c r="AA30" s="145"/>
    </row>
    <row r="31" spans="1:27" ht="18" customHeight="1">
      <c r="B31" s="190" t="str">
        <f>IF(Info!D34,"Corrected thigh girth","PR Muslo corregido")</f>
        <v>Corrected thigh girth</v>
      </c>
      <c r="C31" s="191"/>
      <c r="D31" s="191"/>
      <c r="E31" s="192"/>
      <c r="F31" s="193"/>
      <c r="G31" s="79"/>
      <c r="H31" s="79"/>
      <c r="I31" s="79"/>
      <c r="J31" s="194"/>
      <c r="K31" s="195"/>
      <c r="L31" s="196"/>
      <c r="M31" s="194"/>
      <c r="N31" s="197"/>
      <c r="O31" s="154"/>
      <c r="P31" s="154"/>
      <c r="Q31" s="155"/>
      <c r="R31" s="155" t="str">
        <f t="shared" si="3"/>
        <v>Corrected thigh girth</v>
      </c>
      <c r="S31" s="165"/>
      <c r="T31" s="165"/>
      <c r="U31" s="180">
        <f>+U30-(PI()*U23/10)</f>
        <v>42.575222039230624</v>
      </c>
      <c r="V31" s="143" t="s">
        <v>26</v>
      </c>
      <c r="W31" s="32">
        <f>1/3.59*(+U31*((170.18/U$14)^1)-47.34)</f>
        <v>-3.8541212676784405E-2</v>
      </c>
      <c r="X31" s="181"/>
      <c r="Y31" s="143"/>
      <c r="Z31" s="145"/>
      <c r="AA31" s="145"/>
    </row>
    <row r="32" spans="1:27" ht="18" customHeight="1">
      <c r="B32" s="161" t="str">
        <f>IF(Info!D34,"Calf girth","PR Pierna")</f>
        <v>Calf girth</v>
      </c>
      <c r="C32" s="116"/>
      <c r="D32" s="116"/>
      <c r="E32" s="122"/>
      <c r="F32" s="110"/>
      <c r="G32" s="85">
        <v>39</v>
      </c>
      <c r="H32" s="85"/>
      <c r="I32" s="85"/>
      <c r="J32" s="134"/>
      <c r="K32" s="182">
        <f t="shared" si="5"/>
        <v>-1</v>
      </c>
      <c r="L32" s="163" t="str">
        <f>IF(ABS(K32)&gt;1%,"Yes","No")</f>
        <v>Yes</v>
      </c>
      <c r="M32" s="134"/>
      <c r="N32" s="164">
        <f>IF(I32=0,AVERAGE(G32,H32),MEDIAN(G32,H32,I32))</f>
        <v>39</v>
      </c>
      <c r="O32" s="154"/>
      <c r="P32" s="154"/>
      <c r="Q32" s="155"/>
      <c r="R32" s="155" t="str">
        <f t="shared" si="3"/>
        <v>Calf girth</v>
      </c>
      <c r="S32" s="165"/>
      <c r="T32" s="165"/>
      <c r="U32" s="201">
        <f>+N32</f>
        <v>39</v>
      </c>
      <c r="V32" s="143" t="s">
        <v>26</v>
      </c>
      <c r="W32" s="32">
        <f>1/2.3*(+U32*((170.18/U$14)^1)-35.25)</f>
        <v>3.4730066562809823</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3"/>
        <v>Corrected calf girth</v>
      </c>
      <c r="S33" s="169"/>
      <c r="T33" s="169"/>
      <c r="U33" s="170">
        <f>+U32-(PI()*U24/10)</f>
        <v>34.287611019615312</v>
      </c>
      <c r="V33" s="173" t="s">
        <v>26</v>
      </c>
      <c r="W33" s="33">
        <f>1/1.97*(+U33*((170.18/U$14)^1)-30.22)</f>
        <v>3.9560695227041918</v>
      </c>
      <c r="X33" s="172"/>
      <c r="Y33" s="173"/>
      <c r="Z33" s="174"/>
      <c r="AA33" s="145"/>
    </row>
    <row r="34" spans="1:27" ht="18" customHeight="1" thickBot="1">
      <c r="B34" s="161" t="str">
        <f>IF(Info!D34,"Humerus breadth","D Húmero")</f>
        <v>Humerus breadth</v>
      </c>
      <c r="C34" s="116"/>
      <c r="D34" s="116"/>
      <c r="E34" s="122"/>
      <c r="F34" s="110"/>
      <c r="G34" s="87">
        <v>4.8</v>
      </c>
      <c r="H34" s="87"/>
      <c r="I34" s="87"/>
      <c r="J34" s="134"/>
      <c r="K34" s="151">
        <f t="shared" si="5"/>
        <v>-1</v>
      </c>
      <c r="L34" s="209" t="str">
        <f>IF(ABS(K34)&gt;1%,"Yes","No")</f>
        <v>Yes</v>
      </c>
      <c r="M34" s="134"/>
      <c r="N34" s="210">
        <f>IF(I34=0,AVERAGE(G34,H34),MEDIAN(G34,H34,I34))</f>
        <v>4.8</v>
      </c>
      <c r="O34" s="154"/>
      <c r="P34" s="154"/>
      <c r="Q34" s="155"/>
      <c r="R34" s="155" t="str">
        <f t="shared" si="3"/>
        <v>Humerus breadth</v>
      </c>
      <c r="S34" s="165"/>
      <c r="T34" s="165"/>
      <c r="U34" s="180">
        <f>+N34</f>
        <v>4.8</v>
      </c>
      <c r="V34" s="143" t="s">
        <v>26</v>
      </c>
      <c r="W34" s="32">
        <f>1/0.35*(+U34*((170.18/U$14)^1)-6.48)</f>
        <v>-3.309744067007911</v>
      </c>
      <c r="X34" s="181"/>
      <c r="Y34" s="143"/>
      <c r="Z34" s="145"/>
      <c r="AA34" s="145"/>
    </row>
    <row r="35" spans="1:27" ht="18" customHeight="1">
      <c r="B35" s="161" t="str">
        <f>IF(Info!D34,"Bi-styloid breadth","D Biestiloideo")</f>
        <v>Bi-styloid breadth</v>
      </c>
      <c r="C35" s="116"/>
      <c r="D35" s="116"/>
      <c r="E35" s="122"/>
      <c r="F35" s="110"/>
      <c r="G35" s="91">
        <v>5.5</v>
      </c>
      <c r="H35" s="91"/>
      <c r="I35" s="91"/>
      <c r="J35" s="134"/>
      <c r="K35" s="151">
        <f>+(H35-G35)/(AVERAGE(G35:H35))</f>
        <v>-1</v>
      </c>
      <c r="L35" s="209" t="str">
        <f>IF(ABS(K35)&gt;1%,"Yes","No")</f>
        <v>Yes</v>
      </c>
      <c r="M35" s="134"/>
      <c r="N35" s="210">
        <f>IF(I35=0,AVERAGE(G35,H35),MEDIAN(G35,H35,I35))</f>
        <v>5.5</v>
      </c>
      <c r="O35" s="154"/>
      <c r="P35" s="154"/>
      <c r="Q35" s="155"/>
      <c r="R35" s="155" t="str">
        <f t="shared" si="3"/>
        <v>Bi-styloid breadth</v>
      </c>
      <c r="S35" s="165"/>
      <c r="T35" s="165"/>
      <c r="U35" s="180">
        <f>+N35</f>
        <v>5.5</v>
      </c>
      <c r="V35" s="143" t="s">
        <v>26</v>
      </c>
      <c r="W35" s="32">
        <f>1/0.28*(+U35*((170.18/U$14)^1)-5.21)</f>
        <v>3.1701954397394139</v>
      </c>
      <c r="X35" s="181"/>
      <c r="Y35" s="143"/>
      <c r="Z35" s="145"/>
      <c r="AA35" s="145"/>
    </row>
    <row r="36" spans="1:27" ht="18" customHeight="1" thickBot="1">
      <c r="B36" s="183" t="str">
        <f>IF(Info!D34,"Femur breadth","D Fémur")</f>
        <v>Femur breadth</v>
      </c>
      <c r="C36" s="184"/>
      <c r="D36" s="184"/>
      <c r="E36" s="185"/>
      <c r="F36" s="186"/>
      <c r="G36" s="86">
        <v>9.4</v>
      </c>
      <c r="H36" s="86"/>
      <c r="I36" s="86"/>
      <c r="J36" s="187"/>
      <c r="K36" s="182">
        <f>+(H36-G36)/(AVERAGE(G36:H36))</f>
        <v>-1</v>
      </c>
      <c r="L36" s="188" t="str">
        <f>IF(ABS(K36)&gt;1%,"Yes","No")</f>
        <v>Yes</v>
      </c>
      <c r="M36" s="187"/>
      <c r="N36" s="189">
        <f>IF(I36=0,AVERAGE(G36,H36),MEDIAN(G36,H36,I36))</f>
        <v>9.4</v>
      </c>
      <c r="O36" s="154"/>
      <c r="P36" s="154"/>
      <c r="Q36" s="155"/>
      <c r="R36" s="211" t="str">
        <f t="shared" si="3"/>
        <v>Femur breadth</v>
      </c>
      <c r="S36" s="212"/>
      <c r="T36" s="212"/>
      <c r="U36" s="213">
        <f>+N36</f>
        <v>9.4</v>
      </c>
      <c r="V36" s="214" t="s">
        <v>26</v>
      </c>
      <c r="W36" s="215">
        <f>1/0.48*(+U36*((170.18/U$14)^1)-9.52)</f>
        <v>1.8780130293159651</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1</v>
      </c>
      <c r="E40" s="223">
        <f>IF(G13=I13,1,0)</f>
        <v>1</v>
      </c>
      <c r="F40" s="223">
        <f>IF(H13=I13,1,0)</f>
        <v>1</v>
      </c>
      <c r="G40" s="223">
        <f>IF(I13="",0,1)</f>
        <v>0</v>
      </c>
      <c r="H40" s="222" t="e">
        <f>IF(L13="Yes",1,0)</f>
        <v>#DIV/0!</v>
      </c>
      <c r="I40" s="224">
        <f>COUNTIF(G13,"")</f>
        <v>1</v>
      </c>
      <c r="J40" s="224">
        <f>COUNTIF(H13,"")</f>
        <v>1</v>
      </c>
      <c r="K40" s="224"/>
      <c r="L40" s="225"/>
      <c r="M40" s="225"/>
      <c r="N40" s="224"/>
      <c r="Q40" s="113"/>
      <c r="R40" s="113"/>
      <c r="S40" s="226" t="str">
        <f>'3'!S40</f>
        <v>Somatotype</v>
      </c>
      <c r="T40" s="227" t="str">
        <f>IF(Info!D34,"Endomorphy","Endomorfia")</f>
        <v>Endomorphy</v>
      </c>
      <c r="U40" s="201">
        <f>-0.7182+0.1451*((U17+U18+U21)*(170.18/U14))-0.00068*(((U17+U18+U21)*(170.18/U14))^2)+0.0000014*(((U17+U18+U21)*(170.18/U14))^3)</f>
        <v>5.002149740762321</v>
      </c>
      <c r="V40" s="124"/>
      <c r="W40" s="124"/>
      <c r="X40" s="124"/>
      <c r="Y40" s="124"/>
      <c r="Z40" s="145"/>
      <c r="AA40" s="145"/>
    </row>
    <row r="41" spans="1:27" s="109" customFormat="1">
      <c r="A41" s="104"/>
      <c r="B41" s="223" t="str">
        <f t="shared" ref="B41:B62" si="7">B14</f>
        <v>Stature</v>
      </c>
      <c r="C41" s="222"/>
      <c r="D41" s="223">
        <f t="shared" ref="D41:D62" si="8">IF(G14=H14,1,0)</f>
        <v>0</v>
      </c>
      <c r="E41" s="223">
        <f t="shared" ref="E41:E62" si="9">IF(G14=I14,1,0)</f>
        <v>0</v>
      </c>
      <c r="F41" s="223">
        <f t="shared" ref="F41:F62" si="10">IF(H14=I14,1,0)</f>
        <v>1</v>
      </c>
      <c r="G41" s="223">
        <f t="shared" ref="G41:G62" si="11">IF(I14="",0,1)</f>
        <v>0</v>
      </c>
      <c r="H41" s="222">
        <f t="shared" ref="H41:H62" si="12">IF(L14="Yes",1,0)</f>
        <v>1</v>
      </c>
      <c r="I41" s="224">
        <f t="shared" ref="I41:J56" si="13">COUNTIF(G14,"")</f>
        <v>0</v>
      </c>
      <c r="J41" s="224">
        <f t="shared" si="13"/>
        <v>1</v>
      </c>
      <c r="K41" s="224"/>
      <c r="L41" s="225"/>
      <c r="M41" s="225"/>
      <c r="N41" s="224"/>
      <c r="O41" s="104"/>
      <c r="P41" s="104"/>
      <c r="Q41" s="113"/>
      <c r="R41" s="113"/>
      <c r="S41" s="227" t="str">
        <f>'3'!S41</f>
        <v>(Heath-Carter)</v>
      </c>
      <c r="T41" s="227" t="str">
        <f>IF(Info!D34,"Mesomorphy","Mesomorfia")</f>
        <v>Mesomorphy</v>
      </c>
      <c r="U41" s="201">
        <f>(0.858*U34)+(0.601*U36)+(0.188*(U27-(U17/10)))+(0.161*(U32-(U24/10)))-(0.131*U14)+4.5</f>
        <v>5.4984000000000002</v>
      </c>
      <c r="V41" s="126"/>
      <c r="W41" s="228"/>
      <c r="X41" s="34"/>
      <c r="Y41" s="126"/>
      <c r="Z41" s="115"/>
      <c r="AA41" s="115"/>
    </row>
    <row r="42" spans="1:27" s="109" customFormat="1">
      <c r="B42" s="223" t="str">
        <f t="shared" si="7"/>
        <v>Sitting height</v>
      </c>
      <c r="C42" s="224"/>
      <c r="D42" s="223">
        <f t="shared" si="8"/>
        <v>1</v>
      </c>
      <c r="E42" s="223">
        <f t="shared" si="9"/>
        <v>1</v>
      </c>
      <c r="F42" s="223">
        <f t="shared" si="10"/>
        <v>1</v>
      </c>
      <c r="G42" s="223">
        <f t="shared" si="11"/>
        <v>0</v>
      </c>
      <c r="H42" s="222" t="e">
        <f t="shared" si="12"/>
        <v>#DIV/0!</v>
      </c>
      <c r="I42" s="224">
        <f t="shared" si="13"/>
        <v>1</v>
      </c>
      <c r="J42" s="224">
        <f t="shared" si="13"/>
        <v>1</v>
      </c>
      <c r="K42" s="224"/>
      <c r="L42" s="225"/>
      <c r="M42" s="225"/>
      <c r="N42" s="224"/>
      <c r="O42" s="104"/>
      <c r="P42" s="104"/>
      <c r="Q42" s="113"/>
      <c r="R42" s="113"/>
      <c r="S42" s="124"/>
      <c r="T42" s="227" t="str">
        <f>IF(Info!D34,"Ectomorphy","Ectomorfia")</f>
        <v>Ectomorphy</v>
      </c>
      <c r="U42" s="201" t="e">
        <f>IF(V42&gt;40.75,((0.732*V42)-28.58),IF(V42&gt;38.28,((0.463*V42)-17.63),0.1))</f>
        <v>#DIV/0!</v>
      </c>
      <c r="V42" s="224" t="e">
        <f>U14/(U13^(1/3))</f>
        <v>#DIV/0!</v>
      </c>
      <c r="W42" s="228"/>
      <c r="X42" s="34"/>
      <c r="Y42" s="126"/>
      <c r="Z42" s="115"/>
      <c r="AA42" s="115"/>
    </row>
    <row r="43" spans="1:27" s="109" customFormat="1">
      <c r="B43" s="223" t="str">
        <f t="shared" si="7"/>
        <v>Arm Span</v>
      </c>
      <c r="C43" s="224"/>
      <c r="D43" s="223">
        <f t="shared" si="8"/>
        <v>1</v>
      </c>
      <c r="E43" s="223">
        <f t="shared" si="9"/>
        <v>1</v>
      </c>
      <c r="F43" s="223">
        <f t="shared" si="10"/>
        <v>1</v>
      </c>
      <c r="G43" s="223">
        <f t="shared" si="11"/>
        <v>0</v>
      </c>
      <c r="H43" s="222" t="e">
        <f t="shared" si="12"/>
        <v>#DIV/0!</v>
      </c>
      <c r="I43" s="224">
        <f t="shared" si="13"/>
        <v>1</v>
      </c>
      <c r="J43" s="224">
        <f t="shared" si="13"/>
        <v>1</v>
      </c>
      <c r="K43" s="224"/>
      <c r="L43" s="225"/>
      <c r="M43" s="225"/>
      <c r="N43" s="224"/>
      <c r="O43" s="104"/>
      <c r="P43" s="104"/>
      <c r="Q43" s="113"/>
      <c r="R43" s="113"/>
      <c r="S43" s="124"/>
      <c r="V43" s="126"/>
      <c r="W43" s="228"/>
      <c r="X43" s="34"/>
      <c r="Y43" s="126"/>
      <c r="Z43" s="115"/>
      <c r="AA43" s="115"/>
    </row>
    <row r="44" spans="1:27">
      <c r="A44" s="109"/>
      <c r="B44" s="223" t="str">
        <f t="shared" si="7"/>
        <v>Triceps sf</v>
      </c>
      <c r="C44" s="222"/>
      <c r="D44" s="223">
        <f t="shared" si="8"/>
        <v>0</v>
      </c>
      <c r="E44" s="223">
        <f t="shared" si="9"/>
        <v>0</v>
      </c>
      <c r="F44" s="223">
        <f t="shared" si="10"/>
        <v>0</v>
      </c>
      <c r="G44" s="223">
        <f t="shared" si="11"/>
        <v>1</v>
      </c>
      <c r="H44" s="222">
        <f t="shared" si="12"/>
        <v>1</v>
      </c>
      <c r="I44" s="224">
        <f t="shared" si="13"/>
        <v>0</v>
      </c>
      <c r="J44" s="224">
        <f t="shared" si="13"/>
        <v>1</v>
      </c>
      <c r="K44" s="224"/>
      <c r="L44" s="225"/>
      <c r="M44" s="225"/>
      <c r="N44" s="224"/>
      <c r="Q44" s="113"/>
      <c r="R44" s="113"/>
      <c r="S44" s="226" t="str">
        <f>'3'!S44</f>
        <v>Body Mass Index (MBI)</v>
      </c>
      <c r="T44" s="229"/>
      <c r="U44" s="201" t="e">
        <f>+U13/(U14/100)^2</f>
        <v>#DIV/0!</v>
      </c>
      <c r="V44" s="230" t="str">
        <f>'3'!V44</f>
        <v>kg/m2</v>
      </c>
      <c r="W44" s="227"/>
      <c r="X44" s="231"/>
      <c r="Y44" s="124"/>
      <c r="Z44" s="145"/>
      <c r="AA44" s="145"/>
    </row>
    <row r="45" spans="1:27">
      <c r="B45" s="223" t="str">
        <f t="shared" si="7"/>
        <v>Subscapular sf</v>
      </c>
      <c r="C45" s="222"/>
      <c r="D45" s="223">
        <f t="shared" si="8"/>
        <v>0</v>
      </c>
      <c r="E45" s="223">
        <f t="shared" si="9"/>
        <v>0</v>
      </c>
      <c r="F45" s="223">
        <f t="shared" si="10"/>
        <v>1</v>
      </c>
      <c r="G45" s="223">
        <f t="shared" si="11"/>
        <v>0</v>
      </c>
      <c r="H45" s="222">
        <f t="shared" si="12"/>
        <v>1</v>
      </c>
      <c r="I45" s="224">
        <f t="shared" si="13"/>
        <v>0</v>
      </c>
      <c r="J45" s="224">
        <f t="shared" si="13"/>
        <v>1</v>
      </c>
      <c r="K45" s="224"/>
      <c r="L45" s="225"/>
      <c r="M45" s="225"/>
      <c r="N45" s="224"/>
      <c r="Q45" s="113"/>
      <c r="R45" s="113"/>
      <c r="S45" s="124"/>
      <c r="T45" s="124"/>
      <c r="U45" s="229"/>
      <c r="V45" s="124"/>
      <c r="W45" s="124"/>
      <c r="X45" s="229"/>
      <c r="Y45" s="124"/>
      <c r="Z45" s="145"/>
      <c r="AA45" s="145"/>
    </row>
    <row r="46" spans="1:27" s="109" customFormat="1">
      <c r="A46" s="104"/>
      <c r="B46" s="223" t="str">
        <f t="shared" si="7"/>
        <v>Biceps sf</v>
      </c>
      <c r="C46" s="222"/>
      <c r="D46" s="223">
        <f t="shared" si="8"/>
        <v>0</v>
      </c>
      <c r="E46" s="223">
        <f t="shared" si="9"/>
        <v>0</v>
      </c>
      <c r="F46" s="223">
        <f t="shared" si="10"/>
        <v>1</v>
      </c>
      <c r="G46" s="223">
        <f t="shared" si="11"/>
        <v>0</v>
      </c>
      <c r="H46" s="222">
        <f t="shared" si="12"/>
        <v>1</v>
      </c>
      <c r="I46" s="224">
        <f t="shared" si="13"/>
        <v>0</v>
      </c>
      <c r="J46" s="224">
        <f t="shared" si="13"/>
        <v>1</v>
      </c>
      <c r="K46" s="224"/>
      <c r="L46" s="225"/>
      <c r="M46" s="225"/>
      <c r="N46" s="224"/>
      <c r="O46" s="104"/>
      <c r="P46" s="104"/>
      <c r="Q46" s="113"/>
      <c r="R46" s="113"/>
      <c r="S46" s="226" t="str">
        <f>'3'!S46</f>
        <v>Waist/Hip ratio</v>
      </c>
      <c r="T46" s="124"/>
      <c r="U46" s="232">
        <f>+U28/U29</f>
        <v>0.79347826086956519</v>
      </c>
      <c r="V46" s="126"/>
      <c r="W46" s="233"/>
      <c r="X46" s="201"/>
      <c r="Y46" s="126"/>
      <c r="Z46" s="115"/>
      <c r="AA46" s="115"/>
    </row>
    <row r="47" spans="1:27" s="109" customFormat="1">
      <c r="A47" s="234"/>
      <c r="B47" s="223" t="str">
        <f t="shared" si="7"/>
        <v>Iliac crest sf</v>
      </c>
      <c r="C47" s="222"/>
      <c r="D47" s="223">
        <f t="shared" si="8"/>
        <v>0</v>
      </c>
      <c r="E47" s="223">
        <f t="shared" si="9"/>
        <v>0</v>
      </c>
      <c r="F47" s="223">
        <f t="shared" si="10"/>
        <v>1</v>
      </c>
      <c r="G47" s="223">
        <f t="shared" si="11"/>
        <v>0</v>
      </c>
      <c r="H47" s="222">
        <f t="shared" si="12"/>
        <v>1</v>
      </c>
      <c r="I47" s="224">
        <f t="shared" si="13"/>
        <v>0</v>
      </c>
      <c r="J47" s="224">
        <f t="shared" si="13"/>
        <v>1</v>
      </c>
      <c r="K47" s="224"/>
      <c r="L47" s="224"/>
      <c r="M47" s="224"/>
      <c r="N47" s="224"/>
      <c r="O47" s="104"/>
      <c r="P47" s="104"/>
      <c r="Q47" s="113"/>
      <c r="R47" s="113"/>
      <c r="S47" s="104"/>
      <c r="T47" s="104"/>
      <c r="U47" s="104"/>
      <c r="V47" s="126"/>
      <c r="W47" s="233"/>
      <c r="X47" s="201"/>
      <c r="Y47" s="126"/>
      <c r="Z47" s="115"/>
      <c r="AA47" s="115"/>
    </row>
    <row r="48" spans="1:27" s="109" customFormat="1">
      <c r="B48" s="223" t="str">
        <f t="shared" si="7"/>
        <v>Supraspinale sf</v>
      </c>
      <c r="C48" s="222"/>
      <c r="D48" s="223">
        <f t="shared" si="8"/>
        <v>0</v>
      </c>
      <c r="E48" s="223">
        <f t="shared" si="9"/>
        <v>0</v>
      </c>
      <c r="F48" s="223">
        <f t="shared" si="10"/>
        <v>1</v>
      </c>
      <c r="G48" s="223">
        <f t="shared" si="11"/>
        <v>0</v>
      </c>
      <c r="H48" s="222">
        <f t="shared" si="12"/>
        <v>1</v>
      </c>
      <c r="I48" s="224">
        <f t="shared" si="13"/>
        <v>0</v>
      </c>
      <c r="J48" s="224">
        <f t="shared" si="13"/>
        <v>1</v>
      </c>
      <c r="K48" s="224"/>
      <c r="L48" s="224"/>
      <c r="M48" s="224"/>
      <c r="N48" s="224"/>
      <c r="O48" s="104"/>
      <c r="P48" s="104"/>
      <c r="Q48" s="113"/>
      <c r="R48" s="113"/>
      <c r="S48" s="226" t="str">
        <f>'3'!S48</f>
        <v>Sum of 6 skinfolds</v>
      </c>
      <c r="T48" s="104"/>
      <c r="U48" s="235">
        <f>SUM(U17:U18,U21:U24)</f>
        <v>111</v>
      </c>
      <c r="V48" s="227" t="str">
        <f>'3'!V48</f>
        <v>mm</v>
      </c>
      <c r="W48" s="233"/>
      <c r="X48" s="201"/>
      <c r="Y48" s="126"/>
      <c r="Z48" s="115"/>
      <c r="AA48" s="115"/>
    </row>
    <row r="49" spans="1:27" s="109" customFormat="1">
      <c r="B49" s="223" t="str">
        <f t="shared" si="7"/>
        <v>Abdominal sf</v>
      </c>
      <c r="C49" s="222"/>
      <c r="D49" s="223">
        <f t="shared" si="8"/>
        <v>0</v>
      </c>
      <c r="E49" s="223">
        <f t="shared" si="9"/>
        <v>0</v>
      </c>
      <c r="F49" s="223">
        <f t="shared" si="10"/>
        <v>1</v>
      </c>
      <c r="G49" s="223">
        <f t="shared" si="11"/>
        <v>0</v>
      </c>
      <c r="H49" s="222">
        <f t="shared" si="12"/>
        <v>1</v>
      </c>
      <c r="I49" s="224">
        <f>COUNTIF(G22,"")</f>
        <v>0</v>
      </c>
      <c r="J49" s="224">
        <f t="shared" si="13"/>
        <v>1</v>
      </c>
      <c r="K49" s="224"/>
      <c r="L49" s="224"/>
      <c r="M49" s="224"/>
      <c r="N49" s="224"/>
      <c r="Q49" s="236"/>
      <c r="R49" s="236"/>
      <c r="S49" s="226" t="str">
        <f>'3'!S49</f>
        <v>Sum of 8 skinfolds</v>
      </c>
      <c r="T49" s="104"/>
      <c r="U49" s="235">
        <f>SUM(U17:U24)</f>
        <v>143</v>
      </c>
      <c r="V49" s="227" t="str">
        <f>'3'!V49</f>
        <v>mm</v>
      </c>
      <c r="W49" s="126"/>
      <c r="X49" s="232"/>
      <c r="Y49" s="126"/>
      <c r="Z49" s="115"/>
      <c r="AA49" s="115"/>
    </row>
    <row r="50" spans="1:27">
      <c r="A50" s="109"/>
      <c r="B50" s="223" t="str">
        <f t="shared" si="7"/>
        <v>Thigh sf</v>
      </c>
      <c r="C50" s="222"/>
      <c r="D50" s="223">
        <f t="shared" si="8"/>
        <v>0</v>
      </c>
      <c r="E50" s="223">
        <f t="shared" si="9"/>
        <v>0</v>
      </c>
      <c r="F50" s="223">
        <f t="shared" si="10"/>
        <v>1</v>
      </c>
      <c r="G50" s="223">
        <f t="shared" si="11"/>
        <v>0</v>
      </c>
      <c r="H50" s="222">
        <f t="shared" si="12"/>
        <v>1</v>
      </c>
      <c r="I50" s="224">
        <f t="shared" si="13"/>
        <v>0</v>
      </c>
      <c r="J50" s="224">
        <f t="shared" si="13"/>
        <v>1</v>
      </c>
      <c r="K50" s="224"/>
      <c r="L50" s="224"/>
      <c r="M50" s="224"/>
      <c r="N50" s="224"/>
      <c r="O50" s="109"/>
      <c r="P50" s="109"/>
      <c r="Q50" s="236"/>
      <c r="R50" s="236"/>
      <c r="V50" s="124"/>
      <c r="W50" s="124"/>
      <c r="X50" s="237"/>
      <c r="Y50" s="124"/>
      <c r="Z50" s="145"/>
      <c r="AA50" s="145"/>
    </row>
    <row r="51" spans="1:27">
      <c r="B51" s="223" t="str">
        <f t="shared" si="7"/>
        <v>Calf sf</v>
      </c>
      <c r="C51" s="222"/>
      <c r="D51" s="223">
        <f t="shared" si="8"/>
        <v>0</v>
      </c>
      <c r="E51" s="223">
        <f t="shared" si="9"/>
        <v>0</v>
      </c>
      <c r="F51" s="223">
        <f t="shared" si="10"/>
        <v>1</v>
      </c>
      <c r="G51" s="223">
        <f t="shared" si="11"/>
        <v>0</v>
      </c>
      <c r="H51" s="222">
        <f t="shared" si="12"/>
        <v>1</v>
      </c>
      <c r="I51" s="224">
        <f t="shared" si="13"/>
        <v>0</v>
      </c>
      <c r="J51" s="224">
        <f t="shared" si="13"/>
        <v>1</v>
      </c>
      <c r="K51" s="224"/>
      <c r="L51" s="224"/>
      <c r="M51" s="224"/>
      <c r="N51" s="224"/>
      <c r="Q51" s="113"/>
      <c r="R51" s="113"/>
      <c r="S51" s="226" t="str">
        <f>'3'!S51</f>
        <v>Fat percentage</v>
      </c>
      <c r="T51" s="238"/>
      <c r="U51" s="35">
        <f>IF(U8=1,0.735*(U17+U24)+1,0.61*(U17+U24)+5.1)</f>
        <v>25.229999999999997</v>
      </c>
      <c r="V51" s="227" t="str">
        <f>'3'!V51</f>
        <v>(Slaughter)</v>
      </c>
      <c r="X51" s="229"/>
      <c r="Y51" s="124"/>
      <c r="Z51" s="145"/>
      <c r="AA51" s="145"/>
    </row>
    <row r="52" spans="1:27">
      <c r="B52" s="223" t="str">
        <f t="shared" si="7"/>
        <v>Arm girth relaxed</v>
      </c>
      <c r="C52" s="222"/>
      <c r="D52" s="223">
        <f t="shared" si="8"/>
        <v>0</v>
      </c>
      <c r="E52" s="223">
        <f t="shared" si="9"/>
        <v>0</v>
      </c>
      <c r="F52" s="223">
        <f t="shared" si="10"/>
        <v>1</v>
      </c>
      <c r="G52" s="223">
        <f t="shared" si="11"/>
        <v>0</v>
      </c>
      <c r="H52" s="222">
        <f t="shared" si="12"/>
        <v>1</v>
      </c>
      <c r="I52" s="224">
        <f t="shared" si="13"/>
        <v>0</v>
      </c>
      <c r="J52" s="224">
        <f t="shared" si="13"/>
        <v>1</v>
      </c>
      <c r="K52" s="224"/>
      <c r="L52" s="224"/>
      <c r="M52" s="224"/>
      <c r="N52" s="224"/>
      <c r="Q52" s="113"/>
      <c r="R52" s="113"/>
      <c r="U52" s="35">
        <f>IF(U8=1,0.153*(U17+U18+U21+U22)+5.783,0.213*(U17+U18+U21+U22)+7.9)</f>
        <v>21.957999999999998</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20.762799999999999</v>
      </c>
      <c r="V53" s="227" t="str">
        <f>'3'!V53</f>
        <v>(Carter, from Yuhasz)</v>
      </c>
      <c r="X53" s="229"/>
      <c r="Y53" s="227"/>
      <c r="Z53" s="145"/>
      <c r="AA53" s="145"/>
    </row>
    <row r="54" spans="1:27">
      <c r="B54" s="223" t="str">
        <f t="shared" si="7"/>
        <v>Arm girth flexed and tensed</v>
      </c>
      <c r="C54" s="222"/>
      <c r="D54" s="223">
        <f t="shared" si="8"/>
        <v>0</v>
      </c>
      <c r="E54" s="223">
        <f t="shared" si="9"/>
        <v>0</v>
      </c>
      <c r="F54" s="223">
        <f t="shared" si="10"/>
        <v>1</v>
      </c>
      <c r="G54" s="223">
        <f t="shared" si="11"/>
        <v>0</v>
      </c>
      <c r="H54" s="222">
        <f t="shared" si="12"/>
        <v>1</v>
      </c>
      <c r="I54" s="224">
        <f t="shared" si="13"/>
        <v>0</v>
      </c>
      <c r="J54" s="224">
        <f t="shared" si="13"/>
        <v>1</v>
      </c>
      <c r="K54" s="224"/>
      <c r="L54" s="224"/>
      <c r="M54" s="224"/>
      <c r="N54" s="224"/>
      <c r="Q54" s="113"/>
      <c r="R54" s="113"/>
      <c r="S54" s="226" t="str">
        <f>'3'!S54</f>
        <v>Muscle percentage</v>
      </c>
      <c r="U54" s="35" t="e">
        <f>(U14/100*(0.00744*U26^2+0.00088*U31^2+0.00441*U33^2)+(2.4*(IF(U8=1,1,0)))-0.048*((U10-U11)/365.25)+IF(U7="1",-2,IF(U7="2",1.1,0))+7.8)*100/U13</f>
        <v>#DIV/0!</v>
      </c>
      <c r="V54" s="239" t="str">
        <f>'3'!V54</f>
        <v>(Lee)</v>
      </c>
      <c r="X54" s="235"/>
      <c r="Y54" s="227"/>
      <c r="Z54" s="145"/>
      <c r="AA54" s="145"/>
    </row>
    <row r="55" spans="1:27">
      <c r="B55" s="223" t="str">
        <f t="shared" si="7"/>
        <v>Waist girth</v>
      </c>
      <c r="C55" s="222"/>
      <c r="D55" s="223">
        <f t="shared" si="8"/>
        <v>0</v>
      </c>
      <c r="E55" s="223">
        <f t="shared" si="9"/>
        <v>0</v>
      </c>
      <c r="F55" s="223">
        <f t="shared" si="10"/>
        <v>1</v>
      </c>
      <c r="G55" s="223">
        <f t="shared" si="11"/>
        <v>0</v>
      </c>
      <c r="H55" s="222">
        <f t="shared" si="12"/>
        <v>1</v>
      </c>
      <c r="I55" s="224">
        <f t="shared" si="13"/>
        <v>0</v>
      </c>
      <c r="J55" s="224">
        <f t="shared" si="13"/>
        <v>1</v>
      </c>
      <c r="K55" s="224"/>
      <c r="L55" s="224">
        <f>COUNTIF(L13:L36,"yes")</f>
        <v>18</v>
      </c>
      <c r="M55" s="224"/>
      <c r="N55" s="224"/>
      <c r="Q55" s="113"/>
      <c r="R55" s="113"/>
      <c r="U55" s="35" t="e">
        <f>(U14/100*((0.0064*(U26^2))+(0.0032*(U31^2))+(0.0015*(U33^2)))+(2.56*IF(U8=1,1,0))+(0.136*(U10-U11)/365.25))*100/U13</f>
        <v>#DIV/0!</v>
      </c>
      <c r="V55" s="239" t="str">
        <f>'3'!V55</f>
        <v>(Poortmans)</v>
      </c>
      <c r="X55" s="240"/>
      <c r="Y55" s="227"/>
      <c r="Z55" s="145"/>
      <c r="AA55" s="145"/>
    </row>
    <row r="56" spans="1:27">
      <c r="B56" s="223" t="str">
        <f t="shared" si="7"/>
        <v>Hips girth</v>
      </c>
      <c r="C56" s="222"/>
      <c r="D56" s="223">
        <f t="shared" si="8"/>
        <v>0</v>
      </c>
      <c r="E56" s="223">
        <f t="shared" si="9"/>
        <v>0</v>
      </c>
      <c r="F56" s="223">
        <f t="shared" si="10"/>
        <v>1</v>
      </c>
      <c r="G56" s="223">
        <f t="shared" si="11"/>
        <v>0</v>
      </c>
      <c r="H56" s="222">
        <f t="shared" si="12"/>
        <v>1</v>
      </c>
      <c r="I56" s="224">
        <f t="shared" si="13"/>
        <v>0</v>
      </c>
      <c r="J56" s="224">
        <f t="shared" si="13"/>
        <v>1</v>
      </c>
      <c r="K56" s="224"/>
      <c r="L56" s="224"/>
      <c r="M56" s="224"/>
      <c r="N56" s="224"/>
      <c r="Q56" s="113"/>
      <c r="R56" s="113"/>
      <c r="S56" s="226" t="str">
        <f>'3'!S56</f>
        <v>Bone percentage</v>
      </c>
      <c r="U56" s="35" t="e">
        <f>(3.02*(((U14/100)^2)*(U35/100)*(U36/100)*400)^0.712)*100/U13</f>
        <v>#DIV/0!</v>
      </c>
      <c r="V56" s="239" t="str">
        <f>'3'!V56</f>
        <v>(Rocha)</v>
      </c>
      <c r="W56" s="241"/>
      <c r="X56" s="233"/>
      <c r="Y56" s="227"/>
      <c r="Z56" s="145"/>
      <c r="AA56" s="145"/>
    </row>
    <row r="57" spans="1:27">
      <c r="B57" s="223" t="str">
        <f t="shared" si="7"/>
        <v>Thigh middle girth</v>
      </c>
      <c r="C57" s="222"/>
      <c r="D57" s="223">
        <f t="shared" si="8"/>
        <v>0</v>
      </c>
      <c r="E57" s="223">
        <f t="shared" si="9"/>
        <v>0</v>
      </c>
      <c r="F57" s="223">
        <f t="shared" si="10"/>
        <v>1</v>
      </c>
      <c r="G57" s="223">
        <f t="shared" si="11"/>
        <v>0</v>
      </c>
      <c r="H57" s="222">
        <f t="shared" si="12"/>
        <v>1</v>
      </c>
      <c r="I57" s="224">
        <f t="shared" ref="I57:J62" si="14">COUNTIF(G30,"")</f>
        <v>0</v>
      </c>
      <c r="J57" s="224">
        <f t="shared" si="14"/>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7"/>
        <v>Calf girth</v>
      </c>
      <c r="C59" s="222"/>
      <c r="D59" s="223">
        <f t="shared" si="8"/>
        <v>0</v>
      </c>
      <c r="E59" s="223">
        <f t="shared" si="9"/>
        <v>0</v>
      </c>
      <c r="F59" s="223">
        <f t="shared" si="10"/>
        <v>1</v>
      </c>
      <c r="G59" s="223">
        <f t="shared" si="11"/>
        <v>0</v>
      </c>
      <c r="H59" s="222">
        <f t="shared" si="12"/>
        <v>1</v>
      </c>
      <c r="I59" s="224">
        <f t="shared" si="14"/>
        <v>0</v>
      </c>
      <c r="J59" s="224">
        <f t="shared" si="14"/>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7"/>
        <v>Humerus breadth</v>
      </c>
      <c r="C61" s="222"/>
      <c r="D61" s="223">
        <f t="shared" si="8"/>
        <v>0</v>
      </c>
      <c r="E61" s="223">
        <f t="shared" si="9"/>
        <v>0</v>
      </c>
      <c r="F61" s="223">
        <f t="shared" si="10"/>
        <v>1</v>
      </c>
      <c r="G61" s="223">
        <f t="shared" si="11"/>
        <v>0</v>
      </c>
      <c r="H61" s="222">
        <f t="shared" si="12"/>
        <v>1</v>
      </c>
      <c r="I61" s="224">
        <f t="shared" si="14"/>
        <v>0</v>
      </c>
      <c r="J61" s="224">
        <f t="shared" si="14"/>
        <v>1</v>
      </c>
      <c r="K61" s="224"/>
      <c r="L61" s="224"/>
      <c r="M61" s="224"/>
      <c r="N61" s="224"/>
      <c r="Q61" s="124"/>
      <c r="R61" s="124"/>
      <c r="S61" s="124"/>
      <c r="T61" s="124"/>
      <c r="U61" s="124"/>
      <c r="V61" s="124"/>
      <c r="W61" s="124"/>
      <c r="X61" s="124"/>
      <c r="Y61" s="124"/>
      <c r="Z61" s="124"/>
      <c r="AA61" s="124"/>
    </row>
    <row r="62" spans="1:27">
      <c r="B62" s="223" t="str">
        <f t="shared" si="7"/>
        <v>Bi-styloid breadth</v>
      </c>
      <c r="C62" s="222"/>
      <c r="D62" s="223">
        <f t="shared" si="8"/>
        <v>0</v>
      </c>
      <c r="E62" s="223">
        <f t="shared" si="9"/>
        <v>0</v>
      </c>
      <c r="F62" s="223">
        <f t="shared" si="10"/>
        <v>1</v>
      </c>
      <c r="G62" s="223">
        <f t="shared" si="11"/>
        <v>0</v>
      </c>
      <c r="H62" s="222">
        <f t="shared" si="12"/>
        <v>1</v>
      </c>
      <c r="I62" s="224">
        <f t="shared" si="14"/>
        <v>0</v>
      </c>
      <c r="J62" s="224">
        <f t="shared" si="14"/>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5">SUM(D40:D63)</f>
        <v>3</v>
      </c>
      <c r="E64" s="223">
        <f t="shared" si="15"/>
        <v>3</v>
      </c>
      <c r="F64" s="223">
        <f t="shared" si="15"/>
        <v>20</v>
      </c>
      <c r="G64" s="223">
        <f t="shared" si="15"/>
        <v>1</v>
      </c>
      <c r="H64" s="223" t="e">
        <f t="shared" si="15"/>
        <v>#DIV/0!</v>
      </c>
      <c r="I64" s="224">
        <f t="shared" si="15"/>
        <v>3</v>
      </c>
      <c r="J64" s="224">
        <f t="shared" si="15"/>
        <v>21</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6">+G13</f>
        <v>0</v>
      </c>
      <c r="H67" s="245">
        <f t="shared" si="16"/>
        <v>0</v>
      </c>
      <c r="I67" s="245">
        <f t="shared" si="16"/>
        <v>0</v>
      </c>
      <c r="J67" s="224">
        <f>ABS(G67-H67)</f>
        <v>0</v>
      </c>
      <c r="K67" s="224">
        <f>ABS(I67-G67)</f>
        <v>0</v>
      </c>
      <c r="L67" s="224">
        <f>ABS(H67-I67)</f>
        <v>0</v>
      </c>
      <c r="M67" s="246">
        <f>IF(J67=MIN(J67:L67),G67,IF(K67=MIN(J67:L67),G67,H67))</f>
        <v>0</v>
      </c>
      <c r="N67" s="246">
        <f>IF(J67=MIN(J67:L67),H67,IF(K67=MIN(J67:L67),I67,I67))</f>
        <v>0</v>
      </c>
    </row>
    <row r="68" spans="1:22" s="247" customFormat="1">
      <c r="B68" s="269" t="str">
        <f t="shared" ref="B68:B79" si="17">B14</f>
        <v>Stature</v>
      </c>
      <c r="C68" s="269"/>
      <c r="D68" s="269"/>
      <c r="E68" s="269"/>
      <c r="F68" s="269"/>
      <c r="G68" s="245">
        <f t="shared" si="16"/>
        <v>153.5</v>
      </c>
      <c r="H68" s="245">
        <f t="shared" si="16"/>
        <v>0</v>
      </c>
      <c r="I68" s="245">
        <f t="shared" si="16"/>
        <v>0</v>
      </c>
      <c r="J68" s="224">
        <f t="shared" ref="J68:J87" si="18">ABS(G68-H68)</f>
        <v>153.5</v>
      </c>
      <c r="K68" s="224">
        <f t="shared" ref="K68:K87" si="19">ABS(I68-G68)</f>
        <v>153.5</v>
      </c>
      <c r="L68" s="224">
        <f t="shared" ref="L68:L87" si="20">ABS(H68-I68)</f>
        <v>0</v>
      </c>
      <c r="M68" s="246">
        <f t="shared" ref="M68:M87" si="21">IF(J68=MIN(J68:L68),G68,IF(K68=MIN(J68:L68),G68,H68))</f>
        <v>0</v>
      </c>
      <c r="N68" s="246">
        <f t="shared" ref="N68:N87" si="22">IF(J68=MIN(J68:L68),H68,IF(K68=MIN(J68:L68),I68,I68))</f>
        <v>0</v>
      </c>
    </row>
    <row r="69" spans="1:22" s="247" customFormat="1">
      <c r="B69" s="269" t="str">
        <f t="shared" si="17"/>
        <v>Sitting height</v>
      </c>
      <c r="C69" s="269"/>
      <c r="D69" s="269"/>
      <c r="E69" s="269"/>
      <c r="F69" s="269"/>
      <c r="G69" s="245">
        <f t="shared" si="16"/>
        <v>0</v>
      </c>
      <c r="H69" s="245">
        <f t="shared" si="16"/>
        <v>0</v>
      </c>
      <c r="I69" s="245">
        <f t="shared" si="16"/>
        <v>0</v>
      </c>
      <c r="J69" s="224">
        <f t="shared" si="18"/>
        <v>0</v>
      </c>
      <c r="K69" s="224">
        <f t="shared" si="19"/>
        <v>0</v>
      </c>
      <c r="L69" s="224">
        <f t="shared" si="20"/>
        <v>0</v>
      </c>
      <c r="M69" s="246">
        <f t="shared" si="21"/>
        <v>0</v>
      </c>
      <c r="N69" s="246">
        <f t="shared" si="22"/>
        <v>0</v>
      </c>
    </row>
    <row r="70" spans="1:22" s="247" customFormat="1">
      <c r="B70" s="269" t="str">
        <f t="shared" si="17"/>
        <v>Arm Span</v>
      </c>
      <c r="C70" s="269"/>
      <c r="D70" s="269"/>
      <c r="E70" s="269"/>
      <c r="F70" s="269"/>
      <c r="G70" s="245">
        <f t="shared" si="16"/>
        <v>0</v>
      </c>
      <c r="H70" s="245">
        <f t="shared" si="16"/>
        <v>0</v>
      </c>
      <c r="I70" s="245">
        <f t="shared" si="16"/>
        <v>0</v>
      </c>
      <c r="J70" s="224">
        <f t="shared" si="18"/>
        <v>0</v>
      </c>
      <c r="K70" s="224">
        <f t="shared" si="19"/>
        <v>0</v>
      </c>
      <c r="L70" s="224">
        <f t="shared" si="20"/>
        <v>0</v>
      </c>
      <c r="M70" s="246">
        <f t="shared" si="21"/>
        <v>0</v>
      </c>
      <c r="N70" s="246">
        <f t="shared" si="22"/>
        <v>0</v>
      </c>
    </row>
    <row r="71" spans="1:22" s="247" customFormat="1">
      <c r="B71" s="269" t="str">
        <f t="shared" si="17"/>
        <v>Triceps sf</v>
      </c>
      <c r="C71" s="269"/>
      <c r="D71" s="269"/>
      <c r="E71" s="269"/>
      <c r="F71" s="269"/>
      <c r="G71" s="245">
        <f t="shared" si="16"/>
        <v>19</v>
      </c>
      <c r="H71" s="245">
        <f t="shared" si="16"/>
        <v>0</v>
      </c>
      <c r="I71" s="245">
        <f t="shared" si="16"/>
        <v>17</v>
      </c>
      <c r="J71" s="224">
        <f t="shared" si="18"/>
        <v>19</v>
      </c>
      <c r="K71" s="224">
        <f t="shared" si="19"/>
        <v>2</v>
      </c>
      <c r="L71" s="224">
        <f t="shared" si="20"/>
        <v>17</v>
      </c>
      <c r="M71" s="246">
        <f t="shared" si="21"/>
        <v>19</v>
      </c>
      <c r="N71" s="246">
        <f t="shared" si="22"/>
        <v>17</v>
      </c>
    </row>
    <row r="72" spans="1:22" s="247" customFormat="1">
      <c r="B72" s="269" t="str">
        <f t="shared" si="17"/>
        <v>Subscapular sf</v>
      </c>
      <c r="C72" s="269"/>
      <c r="D72" s="269"/>
      <c r="E72" s="269"/>
      <c r="F72" s="269"/>
      <c r="G72" s="245">
        <f t="shared" si="16"/>
        <v>15</v>
      </c>
      <c r="H72" s="245">
        <f t="shared" si="16"/>
        <v>0</v>
      </c>
      <c r="I72" s="245">
        <f t="shared" si="16"/>
        <v>0</v>
      </c>
      <c r="J72" s="224">
        <f t="shared" si="18"/>
        <v>15</v>
      </c>
      <c r="K72" s="224">
        <f t="shared" si="19"/>
        <v>15</v>
      </c>
      <c r="L72" s="224">
        <f t="shared" si="20"/>
        <v>0</v>
      </c>
      <c r="M72" s="246">
        <f t="shared" si="21"/>
        <v>0</v>
      </c>
      <c r="N72" s="246">
        <f t="shared" si="22"/>
        <v>0</v>
      </c>
    </row>
    <row r="73" spans="1:22" s="247" customFormat="1">
      <c r="B73" s="269" t="str">
        <f t="shared" si="17"/>
        <v>Biceps sf</v>
      </c>
      <c r="C73" s="269"/>
      <c r="D73" s="269"/>
      <c r="E73" s="269"/>
      <c r="F73" s="269"/>
      <c r="G73" s="245">
        <f t="shared" si="16"/>
        <v>7</v>
      </c>
      <c r="H73" s="245">
        <f t="shared" si="16"/>
        <v>0</v>
      </c>
      <c r="I73" s="245">
        <f t="shared" si="16"/>
        <v>0</v>
      </c>
      <c r="J73" s="224">
        <f t="shared" si="18"/>
        <v>7</v>
      </c>
      <c r="K73" s="224">
        <f t="shared" si="19"/>
        <v>7</v>
      </c>
      <c r="L73" s="224">
        <f t="shared" si="20"/>
        <v>0</v>
      </c>
      <c r="M73" s="246">
        <f t="shared" si="21"/>
        <v>0</v>
      </c>
      <c r="N73" s="246">
        <f t="shared" si="22"/>
        <v>0</v>
      </c>
    </row>
    <row r="74" spans="1:22" s="247" customFormat="1">
      <c r="B74" s="269" t="str">
        <f t="shared" si="17"/>
        <v>Iliac crest sf</v>
      </c>
      <c r="C74" s="269"/>
      <c r="D74" s="269"/>
      <c r="E74" s="269"/>
      <c r="F74" s="269"/>
      <c r="G74" s="245">
        <f t="shared" si="16"/>
        <v>25</v>
      </c>
      <c r="H74" s="245">
        <f t="shared" si="16"/>
        <v>0</v>
      </c>
      <c r="I74" s="245">
        <f t="shared" si="16"/>
        <v>0</v>
      </c>
      <c r="J74" s="224">
        <f t="shared" si="18"/>
        <v>25</v>
      </c>
      <c r="K74" s="224">
        <f t="shared" si="19"/>
        <v>25</v>
      </c>
      <c r="L74" s="224">
        <f t="shared" si="20"/>
        <v>0</v>
      </c>
      <c r="M74" s="246">
        <f t="shared" si="21"/>
        <v>0</v>
      </c>
      <c r="N74" s="246">
        <f t="shared" si="22"/>
        <v>0</v>
      </c>
    </row>
    <row r="75" spans="1:22" s="247" customFormat="1">
      <c r="B75" s="269" t="str">
        <f t="shared" si="17"/>
        <v>Supraspinale sf</v>
      </c>
      <c r="C75" s="269"/>
      <c r="D75" s="269"/>
      <c r="E75" s="269"/>
      <c r="F75" s="269"/>
      <c r="G75" s="245">
        <f t="shared" si="16"/>
        <v>12</v>
      </c>
      <c r="H75" s="245">
        <f t="shared" si="16"/>
        <v>0</v>
      </c>
      <c r="I75" s="245">
        <f t="shared" si="16"/>
        <v>0</v>
      </c>
      <c r="J75" s="224">
        <f t="shared" si="18"/>
        <v>12</v>
      </c>
      <c r="K75" s="224">
        <f t="shared" si="19"/>
        <v>12</v>
      </c>
      <c r="L75" s="224">
        <f t="shared" si="20"/>
        <v>0</v>
      </c>
      <c r="M75" s="246">
        <f t="shared" si="21"/>
        <v>0</v>
      </c>
      <c r="N75" s="246">
        <f t="shared" si="22"/>
        <v>0</v>
      </c>
    </row>
    <row r="76" spans="1:22" s="247" customFormat="1">
      <c r="B76" s="269" t="str">
        <f t="shared" si="17"/>
        <v>Abdominal sf</v>
      </c>
      <c r="C76" s="269"/>
      <c r="D76" s="269"/>
      <c r="E76" s="269"/>
      <c r="F76" s="269"/>
      <c r="G76" s="245">
        <f t="shared" si="16"/>
        <v>21</v>
      </c>
      <c r="H76" s="245">
        <f t="shared" si="16"/>
        <v>0</v>
      </c>
      <c r="I76" s="245">
        <f t="shared" si="16"/>
        <v>0</v>
      </c>
      <c r="J76" s="224">
        <f t="shared" si="18"/>
        <v>21</v>
      </c>
      <c r="K76" s="224">
        <f t="shared" si="19"/>
        <v>21</v>
      </c>
      <c r="L76" s="224">
        <f t="shared" si="20"/>
        <v>0</v>
      </c>
      <c r="M76" s="246">
        <f t="shared" si="21"/>
        <v>0</v>
      </c>
      <c r="N76" s="246">
        <f t="shared" si="22"/>
        <v>0</v>
      </c>
    </row>
    <row r="77" spans="1:22" s="247" customFormat="1">
      <c r="A77" s="244"/>
      <c r="B77" s="269" t="str">
        <f t="shared" si="17"/>
        <v>Thigh sf</v>
      </c>
      <c r="C77" s="269"/>
      <c r="D77" s="269"/>
      <c r="E77" s="269"/>
      <c r="F77" s="269"/>
      <c r="G77" s="245">
        <f t="shared" si="16"/>
        <v>30</v>
      </c>
      <c r="H77" s="245">
        <f t="shared" si="16"/>
        <v>0</v>
      </c>
      <c r="I77" s="245">
        <f t="shared" si="16"/>
        <v>0</v>
      </c>
      <c r="J77" s="224">
        <f t="shared" si="18"/>
        <v>30</v>
      </c>
      <c r="K77" s="224">
        <f t="shared" si="19"/>
        <v>30</v>
      </c>
      <c r="L77" s="224">
        <f t="shared" si="20"/>
        <v>0</v>
      </c>
      <c r="M77" s="246">
        <f t="shared" si="21"/>
        <v>0</v>
      </c>
      <c r="N77" s="246">
        <f t="shared" si="22"/>
        <v>0</v>
      </c>
    </row>
    <row r="78" spans="1:22" s="247" customFormat="1">
      <c r="B78" s="269" t="str">
        <f t="shared" si="17"/>
        <v>Calf sf</v>
      </c>
      <c r="C78" s="269"/>
      <c r="D78" s="269"/>
      <c r="E78" s="269"/>
      <c r="F78" s="269"/>
      <c r="G78" s="245">
        <f t="shared" si="16"/>
        <v>15</v>
      </c>
      <c r="H78" s="245">
        <f t="shared" si="16"/>
        <v>0</v>
      </c>
      <c r="I78" s="245">
        <f t="shared" si="16"/>
        <v>0</v>
      </c>
      <c r="J78" s="224">
        <f t="shared" si="18"/>
        <v>15</v>
      </c>
      <c r="K78" s="224">
        <f t="shared" si="19"/>
        <v>15</v>
      </c>
      <c r="L78" s="224">
        <f t="shared" si="20"/>
        <v>0</v>
      </c>
      <c r="M78" s="246">
        <f t="shared" si="21"/>
        <v>0</v>
      </c>
      <c r="N78" s="246">
        <f t="shared" si="22"/>
        <v>0</v>
      </c>
    </row>
    <row r="79" spans="1:22" s="247" customFormat="1">
      <c r="B79" s="269" t="str">
        <f t="shared" si="17"/>
        <v>Arm girth relaxed</v>
      </c>
      <c r="C79" s="269"/>
      <c r="D79" s="269"/>
      <c r="E79" s="269"/>
      <c r="F79" s="269"/>
      <c r="G79" s="245">
        <f t="shared" si="16"/>
        <v>30</v>
      </c>
      <c r="H79" s="245">
        <f t="shared" si="16"/>
        <v>0</v>
      </c>
      <c r="I79" s="245">
        <f t="shared" si="16"/>
        <v>0</v>
      </c>
      <c r="J79" s="224">
        <f t="shared" si="18"/>
        <v>30</v>
      </c>
      <c r="K79" s="224">
        <f t="shared" si="19"/>
        <v>30</v>
      </c>
      <c r="L79" s="224">
        <f t="shared" si="20"/>
        <v>0</v>
      </c>
      <c r="M79" s="246">
        <f t="shared" si="21"/>
        <v>0</v>
      </c>
      <c r="N79" s="246">
        <f t="shared" si="22"/>
        <v>0</v>
      </c>
    </row>
    <row r="80" spans="1:22" s="247" customFormat="1">
      <c r="B80" s="269" t="str">
        <f>B27</f>
        <v>Arm girth flexed and tensed</v>
      </c>
      <c r="C80" s="269"/>
      <c r="D80" s="269"/>
      <c r="E80" s="269"/>
      <c r="F80" s="269"/>
      <c r="G80" s="245">
        <f t="shared" ref="G80:I83" si="23">+G27</f>
        <v>30</v>
      </c>
      <c r="H80" s="245">
        <f t="shared" si="23"/>
        <v>0</v>
      </c>
      <c r="I80" s="245">
        <f t="shared" si="23"/>
        <v>0</v>
      </c>
      <c r="J80" s="224">
        <f t="shared" si="18"/>
        <v>30</v>
      </c>
      <c r="K80" s="224">
        <f t="shared" si="19"/>
        <v>30</v>
      </c>
      <c r="L80" s="224">
        <f t="shared" si="20"/>
        <v>0</v>
      </c>
      <c r="M80" s="246">
        <f t="shared" si="21"/>
        <v>0</v>
      </c>
      <c r="N80" s="246">
        <f t="shared" si="22"/>
        <v>0</v>
      </c>
    </row>
    <row r="81" spans="1:14" s="247" customFormat="1">
      <c r="B81" s="269" t="str">
        <f>B28</f>
        <v>Waist girth</v>
      </c>
      <c r="C81" s="269"/>
      <c r="D81" s="269"/>
      <c r="E81" s="269"/>
      <c r="F81" s="269"/>
      <c r="G81" s="245">
        <f t="shared" si="23"/>
        <v>73</v>
      </c>
      <c r="H81" s="245">
        <f t="shared" si="23"/>
        <v>0</v>
      </c>
      <c r="I81" s="245">
        <f t="shared" si="23"/>
        <v>0</v>
      </c>
      <c r="J81" s="224">
        <f t="shared" si="18"/>
        <v>73</v>
      </c>
      <c r="K81" s="224">
        <f t="shared" si="19"/>
        <v>73</v>
      </c>
      <c r="L81" s="224">
        <f t="shared" si="20"/>
        <v>0</v>
      </c>
      <c r="M81" s="246">
        <f t="shared" si="21"/>
        <v>0</v>
      </c>
      <c r="N81" s="246">
        <f t="shared" si="22"/>
        <v>0</v>
      </c>
    </row>
    <row r="82" spans="1:14" s="247" customFormat="1">
      <c r="B82" s="269" t="str">
        <f>B29</f>
        <v>Hips girth</v>
      </c>
      <c r="C82" s="269"/>
      <c r="D82" s="269"/>
      <c r="E82" s="269"/>
      <c r="F82" s="269"/>
      <c r="G82" s="245">
        <f t="shared" si="23"/>
        <v>92</v>
      </c>
      <c r="H82" s="245">
        <f t="shared" si="23"/>
        <v>0</v>
      </c>
      <c r="I82" s="245">
        <f t="shared" si="23"/>
        <v>0</v>
      </c>
      <c r="J82" s="224">
        <f t="shared" si="18"/>
        <v>92</v>
      </c>
      <c r="K82" s="224">
        <f t="shared" si="19"/>
        <v>92</v>
      </c>
      <c r="L82" s="224">
        <f t="shared" si="20"/>
        <v>0</v>
      </c>
      <c r="M82" s="246">
        <f t="shared" si="21"/>
        <v>0</v>
      </c>
      <c r="N82" s="246">
        <f t="shared" si="22"/>
        <v>0</v>
      </c>
    </row>
    <row r="83" spans="1:14">
      <c r="A83" s="247"/>
      <c r="B83" s="269" t="str">
        <f>B30</f>
        <v>Thigh middle girth</v>
      </c>
      <c r="C83" s="269"/>
      <c r="D83" s="269"/>
      <c r="E83" s="269"/>
      <c r="F83" s="269"/>
      <c r="G83" s="245">
        <f t="shared" si="23"/>
        <v>52</v>
      </c>
      <c r="H83" s="245">
        <f t="shared" si="23"/>
        <v>0</v>
      </c>
      <c r="I83" s="245">
        <f t="shared" si="23"/>
        <v>0</v>
      </c>
      <c r="J83" s="224">
        <f t="shared" si="18"/>
        <v>52</v>
      </c>
      <c r="K83" s="224">
        <f t="shared" si="19"/>
        <v>52</v>
      </c>
      <c r="L83" s="224">
        <f t="shared" si="20"/>
        <v>0</v>
      </c>
      <c r="M83" s="246">
        <f t="shared" si="21"/>
        <v>0</v>
      </c>
      <c r="N83" s="246">
        <f t="shared" si="22"/>
        <v>0</v>
      </c>
    </row>
    <row r="84" spans="1:14">
      <c r="B84" s="269" t="str">
        <f>B32</f>
        <v>Calf girth</v>
      </c>
      <c r="C84" s="269"/>
      <c r="D84" s="269"/>
      <c r="E84" s="269"/>
      <c r="F84" s="269"/>
      <c r="G84" s="245">
        <f>+G32</f>
        <v>39</v>
      </c>
      <c r="H84" s="245">
        <f>+H32</f>
        <v>0</v>
      </c>
      <c r="I84" s="245">
        <f>+I32</f>
        <v>0</v>
      </c>
      <c r="J84" s="224">
        <f t="shared" si="18"/>
        <v>39</v>
      </c>
      <c r="K84" s="224">
        <f t="shared" si="19"/>
        <v>39</v>
      </c>
      <c r="L84" s="224">
        <f t="shared" si="20"/>
        <v>0</v>
      </c>
      <c r="M84" s="246">
        <f t="shared" si="21"/>
        <v>0</v>
      </c>
      <c r="N84" s="246">
        <f t="shared" si="22"/>
        <v>0</v>
      </c>
    </row>
    <row r="85" spans="1:14">
      <c r="B85" s="269" t="str">
        <f>B34</f>
        <v>Humerus breadth</v>
      </c>
      <c r="C85" s="269"/>
      <c r="D85" s="269"/>
      <c r="E85" s="269"/>
      <c r="F85" s="269"/>
      <c r="G85" s="245">
        <f t="shared" ref="G85:I87" si="24">+G34</f>
        <v>4.8</v>
      </c>
      <c r="H85" s="245">
        <f t="shared" si="24"/>
        <v>0</v>
      </c>
      <c r="I85" s="245">
        <f t="shared" si="24"/>
        <v>0</v>
      </c>
      <c r="J85" s="224">
        <f t="shared" si="18"/>
        <v>4.8</v>
      </c>
      <c r="K85" s="224">
        <f t="shared" si="19"/>
        <v>4.8</v>
      </c>
      <c r="L85" s="224">
        <f t="shared" si="20"/>
        <v>0</v>
      </c>
      <c r="M85" s="246">
        <f t="shared" si="21"/>
        <v>0</v>
      </c>
      <c r="N85" s="246">
        <f t="shared" si="22"/>
        <v>0</v>
      </c>
    </row>
    <row r="86" spans="1:14">
      <c r="B86" s="269" t="str">
        <f>B35</f>
        <v>Bi-styloid breadth</v>
      </c>
      <c r="C86" s="269"/>
      <c r="D86" s="269"/>
      <c r="E86" s="269"/>
      <c r="F86" s="269"/>
      <c r="G86" s="245">
        <f t="shared" si="24"/>
        <v>5.5</v>
      </c>
      <c r="H86" s="245">
        <f t="shared" si="24"/>
        <v>0</v>
      </c>
      <c r="I86" s="245">
        <f t="shared" si="24"/>
        <v>0</v>
      </c>
      <c r="J86" s="224">
        <f t="shared" si="18"/>
        <v>5.5</v>
      </c>
      <c r="K86" s="224">
        <f t="shared" si="19"/>
        <v>5.5</v>
      </c>
      <c r="L86" s="224">
        <f t="shared" si="20"/>
        <v>0</v>
      </c>
      <c r="M86" s="246">
        <f t="shared" si="21"/>
        <v>0</v>
      </c>
      <c r="N86" s="246">
        <f t="shared" si="22"/>
        <v>0</v>
      </c>
    </row>
    <row r="87" spans="1:14">
      <c r="B87" s="269" t="str">
        <f>B36</f>
        <v>Femur breadth</v>
      </c>
      <c r="C87" s="269"/>
      <c r="D87" s="269"/>
      <c r="E87" s="269"/>
      <c r="F87" s="269"/>
      <c r="G87" s="245">
        <f t="shared" si="24"/>
        <v>9.4</v>
      </c>
      <c r="H87" s="245">
        <f t="shared" si="24"/>
        <v>0</v>
      </c>
      <c r="I87" s="245">
        <f t="shared" si="24"/>
        <v>0</v>
      </c>
      <c r="J87" s="224">
        <f t="shared" si="18"/>
        <v>9.4</v>
      </c>
      <c r="K87" s="224">
        <f t="shared" si="19"/>
        <v>9.4</v>
      </c>
      <c r="L87" s="224">
        <f t="shared" si="20"/>
        <v>0</v>
      </c>
      <c r="M87" s="246">
        <f t="shared" si="21"/>
        <v>0</v>
      </c>
      <c r="N87" s="246">
        <f t="shared" si="22"/>
        <v>0</v>
      </c>
    </row>
    <row r="88" spans="1:14">
      <c r="M88" s="103"/>
      <c r="N88" s="103"/>
    </row>
    <row r="89" spans="1:14">
      <c r="M89" s="103"/>
      <c r="N89" s="103"/>
    </row>
    <row r="90" spans="1:14">
      <c r="M90" s="103"/>
      <c r="N90" s="103"/>
    </row>
    <row r="91" spans="1:14">
      <c r="M91" s="103"/>
      <c r="N91" s="103"/>
    </row>
  </sheetData>
  <sheetProtection algorithmName="SHA-512" hashValue="O2k4PTUgYu1HcwvJmQaFB1ySKe4pIckNDQ+EN0pn3F+BhYiX5UeOojPpSMT3IkDGGI/zWsRobnKxhmvbmlxLMw==" saltValue="3SDTuH8nm3wQqEPyJIvz7A==" spinCount="100000" sheet="1" selectLockedCells="1"/>
  <mergeCells count="23">
    <mergeCell ref="B70:F70"/>
    <mergeCell ref="K11:L12"/>
    <mergeCell ref="N11:N12"/>
    <mergeCell ref="B67:F67"/>
    <mergeCell ref="B68:F68"/>
    <mergeCell ref="B69:F69"/>
    <mergeCell ref="B82:F82"/>
    <mergeCell ref="B71:F71"/>
    <mergeCell ref="B72:F72"/>
    <mergeCell ref="B73:F73"/>
    <mergeCell ref="B74:F74"/>
    <mergeCell ref="B75:F75"/>
    <mergeCell ref="B76:F76"/>
    <mergeCell ref="B77:F77"/>
    <mergeCell ref="B78:F78"/>
    <mergeCell ref="B79:F79"/>
    <mergeCell ref="B80:F80"/>
    <mergeCell ref="B81:F81"/>
    <mergeCell ref="B83:F83"/>
    <mergeCell ref="B84:F84"/>
    <mergeCell ref="B85:F85"/>
    <mergeCell ref="B86:F86"/>
    <mergeCell ref="B87:F87"/>
  </mergeCells>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A91"/>
  <sheetViews>
    <sheetView zoomScaleNormal="75" zoomScaleSheetLayoutView="75" workbookViewId="0">
      <selection activeCell="I20" sqref="I20"/>
    </sheetView>
  </sheetViews>
  <sheetFormatPr baseColWidth="10" defaultColWidth="6" defaultRowHeight="13.2"/>
  <cols>
    <col min="1" max="1" width="7.33203125" style="104" customWidth="1"/>
    <col min="2" max="2" width="11" style="104" customWidth="1"/>
    <col min="3" max="4" width="6" style="104"/>
    <col min="5" max="5" width="7.109375" style="104" bestFit="1" customWidth="1"/>
    <col min="6" max="6" width="8.44140625" style="104" customWidth="1"/>
    <col min="7" max="7" width="16.6640625" style="104" customWidth="1"/>
    <col min="8" max="8" width="9.33203125" style="104" customWidth="1"/>
    <col min="9" max="9" width="9.88671875" style="104" customWidth="1"/>
    <col min="10" max="10" width="3.33203125" style="104" customWidth="1"/>
    <col min="11" max="11" width="8.109375" style="104" customWidth="1"/>
    <col min="12" max="12" width="6.33203125" style="104" customWidth="1"/>
    <col min="13" max="13" width="8.33203125" style="104" customWidth="1"/>
    <col min="14" max="14" width="10.44140625" style="104" customWidth="1"/>
    <col min="15" max="18" width="6" style="104"/>
    <col min="19" max="19" width="14.44140625" style="104" customWidth="1"/>
    <col min="20" max="20" width="30.33203125" style="104" customWidth="1"/>
    <col min="21" max="21" width="20.6640625" style="104" customWidth="1"/>
    <col min="22" max="22" width="7.33203125" style="104" bestFit="1" customWidth="1"/>
    <col min="23" max="23" width="12.6640625" style="104" customWidth="1"/>
    <col min="24" max="16384" width="6" style="104"/>
  </cols>
  <sheetData>
    <row r="1" spans="1:27" s="100" customFormat="1" ht="13.8" thickBot="1"/>
    <row r="2" spans="1:27" s="109" customFormat="1" ht="13.8" thickTop="1">
      <c r="A2" s="100"/>
      <c r="B2" s="101" t="str">
        <f>IF(Info!D34,"ISAK RESTRICTED PROFORMA","PROFORMA PERFIL RESTRINGIDO ISAK")</f>
        <v>ISAK RESTRICTED PROFORMA</v>
      </c>
      <c r="C2" s="102"/>
      <c r="D2" s="102"/>
      <c r="E2" s="102"/>
      <c r="F2" s="102"/>
      <c r="G2" s="102"/>
      <c r="H2" s="103"/>
      <c r="I2" s="104"/>
      <c r="J2" s="104"/>
      <c r="K2" s="104"/>
      <c r="L2" s="104"/>
      <c r="M2" s="104"/>
      <c r="N2" s="104"/>
      <c r="O2" s="104"/>
      <c r="P2" s="104"/>
      <c r="Q2" s="105"/>
      <c r="R2" s="106" t="str">
        <f>IF(Info!D34,"ISAK PROFORMA PRINTOUT","INFORME PROFORMA ISAK")</f>
        <v>ISAK PROFORMA PRINTOUT</v>
      </c>
      <c r="S2" s="107"/>
      <c r="T2" s="107"/>
      <c r="U2" s="107"/>
      <c r="V2" s="107"/>
      <c r="W2" s="107"/>
      <c r="X2" s="107"/>
      <c r="Y2" s="107"/>
      <c r="Z2" s="107"/>
      <c r="AA2" s="108"/>
    </row>
    <row r="3" spans="1:27" s="109" customFormat="1" ht="13.8" thickBot="1">
      <c r="H3" s="110"/>
      <c r="I3" s="111"/>
      <c r="J3" s="111"/>
      <c r="K3" s="111"/>
      <c r="L3" s="111"/>
      <c r="M3" s="111"/>
      <c r="N3" s="112"/>
      <c r="O3" s="104"/>
      <c r="P3" s="104"/>
      <c r="Q3" s="113"/>
      <c r="R3" s="114"/>
      <c r="S3" s="114"/>
      <c r="T3" s="114"/>
      <c r="U3" s="114"/>
      <c r="AA3" s="115"/>
    </row>
    <row r="4" spans="1:27" s="109" customFormat="1" ht="13.8" thickTop="1">
      <c r="B4" s="116" t="str">
        <f>IF(Info!D34,"Name","Nombre")</f>
        <v>Name</v>
      </c>
      <c r="C4" s="112"/>
      <c r="D4" s="112"/>
      <c r="E4" s="112"/>
      <c r="F4" s="117"/>
      <c r="G4" s="81" t="s">
        <v>75</v>
      </c>
      <c r="H4" s="71"/>
      <c r="I4" s="72"/>
      <c r="J4" s="118"/>
      <c r="K4" s="118"/>
      <c r="L4" s="111"/>
      <c r="M4" s="111"/>
      <c r="N4" s="111"/>
      <c r="O4" s="104"/>
      <c r="P4" s="104"/>
      <c r="Q4" s="113"/>
      <c r="R4" s="105" t="str">
        <f t="shared" ref="R4:R11" si="0">+B4</f>
        <v>Name</v>
      </c>
      <c r="S4" s="119"/>
      <c r="T4" s="119"/>
      <c r="U4" s="120" t="str">
        <f t="shared" ref="U4:U11" si="1">+G4</f>
        <v xml:space="preserve">Andrea </v>
      </c>
      <c r="V4" s="107"/>
      <c r="W4" s="107"/>
      <c r="X4" s="121"/>
      <c r="Y4" s="107"/>
      <c r="Z4" s="108"/>
      <c r="AA4" s="115"/>
    </row>
    <row r="5" spans="1:27" s="109" customFormat="1">
      <c r="B5" s="116" t="str">
        <f>IF(Info!D34,"Surname","Apellidos")</f>
        <v>Surname</v>
      </c>
      <c r="C5" s="116"/>
      <c r="D5" s="116"/>
      <c r="E5" s="110"/>
      <c r="F5" s="112"/>
      <c r="G5" s="81" t="s">
        <v>76</v>
      </c>
      <c r="H5" s="73"/>
      <c r="I5" s="74"/>
      <c r="J5" s="122"/>
      <c r="K5" s="122"/>
      <c r="L5" s="122"/>
      <c r="M5" s="122"/>
      <c r="N5" s="123"/>
      <c r="O5" s="104"/>
      <c r="P5" s="104"/>
      <c r="Q5" s="113"/>
      <c r="R5" s="113" t="str">
        <f t="shared" si="0"/>
        <v>Surname</v>
      </c>
      <c r="S5" s="124"/>
      <c r="T5" s="124"/>
      <c r="U5" s="125" t="str">
        <f t="shared" si="1"/>
        <v>Weinberger</v>
      </c>
      <c r="V5" s="126"/>
      <c r="W5" s="126"/>
      <c r="X5" s="127"/>
      <c r="Y5" s="126"/>
      <c r="Z5" s="115"/>
      <c r="AA5" s="115"/>
    </row>
    <row r="6" spans="1:27" s="109" customFormat="1">
      <c r="B6" s="116" t="str">
        <f>IF(Info!D34,"Country","País")</f>
        <v>Country</v>
      </c>
      <c r="C6" s="116"/>
      <c r="D6" s="116"/>
      <c r="E6" s="110"/>
      <c r="F6" s="122"/>
      <c r="G6" s="81" t="s">
        <v>46</v>
      </c>
      <c r="H6" s="75"/>
      <c r="I6" s="76"/>
      <c r="J6" s="111"/>
      <c r="K6" s="111"/>
      <c r="L6" s="111"/>
      <c r="M6" s="111"/>
      <c r="N6" s="111"/>
      <c r="O6" s="104"/>
      <c r="P6" s="104"/>
      <c r="Q6" s="113"/>
      <c r="R6" s="113" t="str">
        <f t="shared" si="0"/>
        <v>Country</v>
      </c>
      <c r="S6" s="124"/>
      <c r="T6" s="124"/>
      <c r="U6" s="125" t="str">
        <f t="shared" si="1"/>
        <v>Perú</v>
      </c>
      <c r="V6" s="126"/>
      <c r="W6" s="126"/>
      <c r="X6" s="127"/>
      <c r="Y6" s="126"/>
      <c r="Z6" s="115"/>
      <c r="AA6" s="115"/>
    </row>
    <row r="7" spans="1:27" s="109" customFormat="1">
      <c r="B7" s="116" t="str">
        <f>IF(Info!D34,"Ethnicity (Asian=1; African-American=2; Caucasian=3)","Raza (asiático=1; afro-americano=2; caucásico=3)")</f>
        <v>Ethnicity (Asian=1; African-American=2; Caucasian=3)</v>
      </c>
      <c r="C7" s="116"/>
      <c r="D7" s="116"/>
      <c r="E7" s="110"/>
      <c r="F7" s="111"/>
      <c r="G7" s="81">
        <v>3</v>
      </c>
      <c r="H7" s="75"/>
      <c r="I7" s="76"/>
      <c r="J7" s="111"/>
      <c r="K7" s="111"/>
      <c r="L7" s="111"/>
      <c r="M7" s="111"/>
      <c r="N7" s="111"/>
      <c r="O7" s="104"/>
      <c r="P7" s="104"/>
      <c r="Q7" s="113"/>
      <c r="R7" s="113" t="str">
        <f t="shared" si="0"/>
        <v>Ethnicity (Asian=1; African-American=2; Caucasian=3)</v>
      </c>
      <c r="S7" s="124"/>
      <c r="T7" s="124"/>
      <c r="U7" s="125">
        <f t="shared" si="1"/>
        <v>3</v>
      </c>
      <c r="V7" s="126"/>
      <c r="W7" s="126"/>
      <c r="X7" s="127"/>
      <c r="Y7" s="126"/>
      <c r="Z7" s="115"/>
      <c r="AA7" s="115"/>
    </row>
    <row r="8" spans="1:27" s="109" customFormat="1" ht="24" customHeight="1">
      <c r="B8" s="116" t="str">
        <f>IF(Info!D34,"Sex (male=1, female=2)","Sexo (hombre=1, mujer=2)")</f>
        <v>Sex (male=1, female=2)</v>
      </c>
      <c r="C8" s="116"/>
      <c r="D8" s="116"/>
      <c r="E8" s="110"/>
      <c r="F8" s="128"/>
      <c r="G8" s="82">
        <v>2</v>
      </c>
      <c r="H8" s="74"/>
      <c r="I8" s="77"/>
      <c r="J8" s="129"/>
      <c r="K8" s="129"/>
      <c r="L8" s="129"/>
      <c r="M8" s="129"/>
      <c r="N8" s="123"/>
      <c r="O8" s="104"/>
      <c r="P8" s="104"/>
      <c r="Q8" s="113"/>
      <c r="R8" s="113" t="str">
        <f t="shared" si="0"/>
        <v>Sex (male=1, female=2)</v>
      </c>
      <c r="S8" s="124"/>
      <c r="T8" s="124"/>
      <c r="U8" s="125">
        <f t="shared" si="1"/>
        <v>2</v>
      </c>
      <c r="V8" s="126"/>
      <c r="W8" s="126"/>
      <c r="X8" s="127"/>
      <c r="Y8" s="126"/>
      <c r="Z8" s="115"/>
      <c r="AA8" s="115"/>
    </row>
    <row r="9" spans="1:27" s="109" customFormat="1" ht="24" customHeight="1">
      <c r="B9" s="116" t="str">
        <f>IF(Info!D34,"Sport","Deporte")</f>
        <v>Sport</v>
      </c>
      <c r="C9" s="116"/>
      <c r="D9" s="116"/>
      <c r="E9" s="110"/>
      <c r="F9" s="111"/>
      <c r="G9" s="81"/>
      <c r="H9" s="75"/>
      <c r="I9" s="76"/>
      <c r="J9" s="111"/>
      <c r="K9" s="111"/>
      <c r="L9" s="111"/>
      <c r="M9" s="111"/>
      <c r="N9" s="111"/>
      <c r="O9" s="104"/>
      <c r="P9" s="104"/>
      <c r="Q9" s="113"/>
      <c r="R9" s="113" t="str">
        <f t="shared" si="0"/>
        <v>Sport</v>
      </c>
      <c r="S9" s="124"/>
      <c r="T9" s="124"/>
      <c r="U9" s="125">
        <f t="shared" si="1"/>
        <v>0</v>
      </c>
      <c r="V9" s="126"/>
      <c r="W9" s="126"/>
      <c r="X9" s="127"/>
      <c r="Y9" s="126"/>
      <c r="Z9" s="115"/>
      <c r="AA9" s="115"/>
    </row>
    <row r="10" spans="1:27" s="109" customFormat="1" ht="24" customHeight="1">
      <c r="B10" s="116" t="str">
        <f>IF(Info!D34,"Date of Measurement","Fecha de la valoración")</f>
        <v>Date of Measurement</v>
      </c>
      <c r="C10" s="116"/>
      <c r="D10" s="116"/>
      <c r="E10" s="110"/>
      <c r="F10" s="130"/>
      <c r="G10" s="83">
        <v>44543</v>
      </c>
      <c r="H10" s="76"/>
      <c r="I10" s="76"/>
      <c r="J10" s="111"/>
      <c r="K10" s="111"/>
      <c r="L10" s="111"/>
      <c r="M10" s="111"/>
      <c r="N10" s="122"/>
      <c r="O10" s="104"/>
      <c r="P10" s="104"/>
      <c r="Q10" s="113"/>
      <c r="R10" s="113" t="str">
        <f t="shared" si="0"/>
        <v>Date of Measurement</v>
      </c>
      <c r="S10" s="124"/>
      <c r="T10" s="124"/>
      <c r="U10" s="131">
        <f t="shared" si="1"/>
        <v>44543</v>
      </c>
      <c r="V10" s="126"/>
      <c r="W10" s="126"/>
      <c r="X10" s="132"/>
      <c r="Y10" s="133"/>
      <c r="Z10" s="115"/>
      <c r="AA10" s="115"/>
    </row>
    <row r="11" spans="1:27" s="109" customFormat="1" ht="24" customHeight="1" thickBot="1">
      <c r="B11" s="116" t="str">
        <f>IF(Info!D34,"Date of Birth","Fecha de nacimiento")</f>
        <v>Date of Birth</v>
      </c>
      <c r="C11" s="116"/>
      <c r="D11" s="116"/>
      <c r="E11" s="122"/>
      <c r="F11" s="112"/>
      <c r="G11" s="83"/>
      <c r="H11" s="74"/>
      <c r="I11" s="77"/>
      <c r="J11" s="129"/>
      <c r="K11" s="270" t="str">
        <f>IF(Info!D34,"3rd measure?","¿3ª medida?")</f>
        <v>3rd measure?</v>
      </c>
      <c r="L11" s="271"/>
      <c r="M11" s="134"/>
      <c r="N11" s="274" t="str">
        <f>IF(Info!D34,"Mean or Median","Media o Mediana")</f>
        <v>Mean or Median</v>
      </c>
      <c r="O11" s="104"/>
      <c r="P11" s="104"/>
      <c r="Q11" s="113"/>
      <c r="R11" s="135" t="str">
        <f t="shared" si="0"/>
        <v>Date of Birth</v>
      </c>
      <c r="S11" s="136"/>
      <c r="T11" s="136"/>
      <c r="U11" s="137">
        <f t="shared" si="1"/>
        <v>0</v>
      </c>
      <c r="V11" s="138"/>
      <c r="W11" s="138"/>
      <c r="X11" s="139"/>
      <c r="Y11" s="140"/>
      <c r="Z11" s="141"/>
      <c r="AA11" s="115"/>
    </row>
    <row r="12" spans="1:27" ht="14.4" thickTop="1" thickBot="1">
      <c r="A12" s="109"/>
      <c r="B12" s="116" t="str">
        <f>IF(Info!D34,"Measure","Medida")</f>
        <v>Measure</v>
      </c>
      <c r="C12" s="116"/>
      <c r="D12" s="116"/>
      <c r="E12" s="122"/>
      <c r="F12" s="112"/>
      <c r="G12" s="78">
        <v>1</v>
      </c>
      <c r="H12" s="78">
        <v>2</v>
      </c>
      <c r="I12" s="78">
        <v>3</v>
      </c>
      <c r="J12" s="134"/>
      <c r="K12" s="272"/>
      <c r="L12" s="273"/>
      <c r="M12" s="134"/>
      <c r="N12" s="275"/>
      <c r="Q12" s="113"/>
      <c r="U12" s="142" t="str">
        <f>IF(Info!D34,"Value", "Valor")</f>
        <v>Value</v>
      </c>
      <c r="V12" s="143"/>
      <c r="W12" s="144" t="str">
        <f>IF(Info!D34,"Phantom Z-value","Valor Z del Phantom")</f>
        <v>Phantom Z-value</v>
      </c>
      <c r="X12" s="142"/>
      <c r="Y12" s="143"/>
      <c r="AA12" s="145"/>
    </row>
    <row r="13" spans="1:27" s="109" customFormat="1" ht="13.8" thickTop="1">
      <c r="A13" s="104"/>
      <c r="B13" s="146" t="str">
        <f>IF(Info!D34,"Mass","Masa corporal")</f>
        <v>Mass</v>
      </c>
      <c r="C13" s="147"/>
      <c r="D13" s="147"/>
      <c r="E13" s="148"/>
      <c r="F13" s="149"/>
      <c r="G13" s="84">
        <v>52.9</v>
      </c>
      <c r="H13" s="84"/>
      <c r="I13" s="84"/>
      <c r="J13" s="150"/>
      <c r="K13" s="151">
        <f>+(H13-G13)/(AVERAGE(G13:H13))</f>
        <v>-1</v>
      </c>
      <c r="L13" s="152" t="str">
        <f>IF(ABS(K13)&gt;1%,"Yes","No")</f>
        <v>Yes</v>
      </c>
      <c r="M13" s="150"/>
      <c r="N13" s="153">
        <f t="shared" ref="N13:N25" si="2">IF(I13=0,AVERAGE(G13,H13),MEDIAN(G13,H13,I13))</f>
        <v>52.9</v>
      </c>
      <c r="O13" s="154"/>
      <c r="P13" s="154"/>
      <c r="Q13" s="155"/>
      <c r="R13" s="156" t="str">
        <f t="shared" ref="R13:R26" si="3">+B13</f>
        <v>Mass</v>
      </c>
      <c r="S13" s="157"/>
      <c r="T13" s="157"/>
      <c r="U13" s="158">
        <f t="shared" ref="U13:U25" si="4">+N13</f>
        <v>52.9</v>
      </c>
      <c r="V13" s="159" t="s">
        <v>25</v>
      </c>
      <c r="W13" s="160">
        <f>1/8.6*(+U13*((170.18/U$14)^3)-64.58)</f>
        <v>0.47632399010604271</v>
      </c>
      <c r="X13" s="121"/>
      <c r="Y13" s="107"/>
      <c r="Z13" s="108"/>
      <c r="AA13" s="115"/>
    </row>
    <row r="14" spans="1:27" s="109" customFormat="1">
      <c r="B14" s="161" t="str">
        <f>IF(Info!D34,"Stature","Talla")</f>
        <v>Stature</v>
      </c>
      <c r="C14" s="116"/>
      <c r="D14" s="116"/>
      <c r="E14" s="122"/>
      <c r="F14" s="110"/>
      <c r="G14" s="259">
        <v>156</v>
      </c>
      <c r="H14" s="259"/>
      <c r="I14" s="85"/>
      <c r="J14" s="134"/>
      <c r="K14" s="162">
        <f t="shared" ref="K14:K34" si="5">+(H14-G14)/(AVERAGE(G14:H14))</f>
        <v>-1</v>
      </c>
      <c r="L14" s="163" t="str">
        <f>IF(ABS(K14)&gt;1%,"Yes","No")</f>
        <v>Yes</v>
      </c>
      <c r="M14" s="134"/>
      <c r="N14" s="164">
        <f t="shared" si="2"/>
        <v>156</v>
      </c>
      <c r="O14" s="154"/>
      <c r="P14" s="154"/>
      <c r="Q14" s="155"/>
      <c r="R14" s="155" t="str">
        <f t="shared" si="3"/>
        <v>Stature</v>
      </c>
      <c r="S14" s="165"/>
      <c r="T14" s="165"/>
      <c r="U14" s="166">
        <f t="shared" si="4"/>
        <v>156</v>
      </c>
      <c r="V14" s="167" t="s">
        <v>26</v>
      </c>
      <c r="W14" s="132"/>
      <c r="X14" s="132"/>
      <c r="Y14" s="133"/>
      <c r="Z14" s="115"/>
      <c r="AA14" s="115"/>
    </row>
    <row r="15" spans="1:27" s="109" customFormat="1">
      <c r="B15" s="161" t="str">
        <f>IF(Info!D34,"Sitting height","Talla sentado")</f>
        <v>Sitting height</v>
      </c>
      <c r="C15" s="116"/>
      <c r="D15" s="116"/>
      <c r="E15" s="122"/>
      <c r="F15" s="110"/>
      <c r="G15" s="87">
        <v>74.5</v>
      </c>
      <c r="H15" s="87"/>
      <c r="I15" s="87"/>
      <c r="J15" s="134"/>
      <c r="K15" s="162">
        <f t="shared" si="5"/>
        <v>-1</v>
      </c>
      <c r="L15" s="163" t="str">
        <f>IF(ABS(K15)&gt;1%,"Yes","No")</f>
        <v>Yes</v>
      </c>
      <c r="M15" s="134"/>
      <c r="N15" s="164">
        <f t="shared" si="2"/>
        <v>74.5</v>
      </c>
      <c r="O15" s="154"/>
      <c r="P15" s="154"/>
      <c r="Q15" s="155"/>
      <c r="R15" s="155" t="str">
        <f t="shared" si="3"/>
        <v>Sitting height</v>
      </c>
      <c r="S15" s="165"/>
      <c r="T15" s="165"/>
      <c r="U15" s="166">
        <f t="shared" si="4"/>
        <v>74.5</v>
      </c>
      <c r="V15" s="167" t="s">
        <v>26</v>
      </c>
      <c r="W15" s="32">
        <f>1/4.5*(+U15*((170.18/U$14)^1)-89.92)</f>
        <v>-1.9218091168091165</v>
      </c>
      <c r="X15" s="132"/>
      <c r="Y15" s="133"/>
      <c r="Z15" s="115"/>
      <c r="AA15" s="115"/>
    </row>
    <row r="16" spans="1:27" s="109" customFormat="1" ht="13.8" thickBot="1">
      <c r="B16" s="161" t="str">
        <f>IF(Info!D34,"Arm Span","Envergadura de brazos")</f>
        <v>Arm Span</v>
      </c>
      <c r="C16" s="116"/>
      <c r="D16" s="116"/>
      <c r="E16" s="122"/>
      <c r="F16" s="110"/>
      <c r="G16" s="87">
        <v>153</v>
      </c>
      <c r="H16" s="87"/>
      <c r="I16" s="87"/>
      <c r="J16" s="134"/>
      <c r="K16" s="162">
        <f t="shared" si="5"/>
        <v>-1</v>
      </c>
      <c r="L16" s="163" t="str">
        <f>IF(ABS(K16)&gt;1%,"Yes","No")</f>
        <v>Yes</v>
      </c>
      <c r="M16" s="134"/>
      <c r="N16" s="164">
        <f t="shared" si="2"/>
        <v>153</v>
      </c>
      <c r="O16" s="154"/>
      <c r="P16" s="154"/>
      <c r="Q16" s="155"/>
      <c r="R16" s="168" t="str">
        <f t="shared" si="3"/>
        <v>Arm Span</v>
      </c>
      <c r="S16" s="169"/>
      <c r="T16" s="169"/>
      <c r="U16" s="170">
        <f t="shared" si="4"/>
        <v>153</v>
      </c>
      <c r="V16" s="171" t="s">
        <v>26</v>
      </c>
      <c r="W16" s="33">
        <f>1/7.41*(+U16*((170.18/U$14)^1)-172.35)</f>
        <v>-0.73450638430395188</v>
      </c>
      <c r="X16" s="172"/>
      <c r="Y16" s="173"/>
      <c r="Z16" s="174"/>
      <c r="AA16" s="115"/>
    </row>
    <row r="17" spans="1:27" ht="18" customHeight="1" thickTop="1">
      <c r="A17" s="109"/>
      <c r="B17" s="146" t="str">
        <f>IF(Info!D34,"Triceps sf","PL Tríceps")</f>
        <v>Triceps sf</v>
      </c>
      <c r="C17" s="147"/>
      <c r="D17" s="147"/>
      <c r="E17" s="148"/>
      <c r="F17" s="149"/>
      <c r="G17" s="84">
        <v>24</v>
      </c>
      <c r="H17" s="84"/>
      <c r="I17" s="84"/>
      <c r="J17" s="150"/>
      <c r="K17" s="151">
        <f t="shared" si="5"/>
        <v>-1</v>
      </c>
      <c r="L17" s="152" t="str">
        <f t="shared" ref="L17:L24" si="6">IF(ABS(K17)&gt;5%,"Yes","No")</f>
        <v>Yes</v>
      </c>
      <c r="M17" s="150"/>
      <c r="N17" s="153">
        <f t="shared" si="2"/>
        <v>24</v>
      </c>
      <c r="O17" s="154"/>
      <c r="P17" s="154"/>
      <c r="Q17" s="155"/>
      <c r="R17" s="156" t="str">
        <f t="shared" si="3"/>
        <v>Triceps sf</v>
      </c>
      <c r="S17" s="157"/>
      <c r="T17" s="157"/>
      <c r="U17" s="175">
        <f t="shared" si="4"/>
        <v>24</v>
      </c>
      <c r="V17" s="176" t="s">
        <v>27</v>
      </c>
      <c r="W17" s="177">
        <f>1/4.47*(+U17*((170.18/U$14)^1)-15.4)</f>
        <v>2.4119772844605061</v>
      </c>
      <c r="X17" s="178"/>
      <c r="Y17" s="176"/>
      <c r="Z17" s="179"/>
      <c r="AA17" s="145"/>
    </row>
    <row r="18" spans="1:27" ht="18" customHeight="1">
      <c r="B18" s="161" t="str">
        <f>IF(Info!D34,"Subscapular sf","PL Subescapular")</f>
        <v>Subscapular sf</v>
      </c>
      <c r="C18" s="116"/>
      <c r="D18" s="116"/>
      <c r="E18" s="122"/>
      <c r="F18" s="110"/>
      <c r="G18" s="259">
        <v>9</v>
      </c>
      <c r="H18" s="259"/>
      <c r="I18" s="85"/>
      <c r="J18" s="134"/>
      <c r="K18" s="162">
        <f t="shared" si="5"/>
        <v>-1</v>
      </c>
      <c r="L18" s="163" t="str">
        <f t="shared" si="6"/>
        <v>Yes</v>
      </c>
      <c r="M18" s="134"/>
      <c r="N18" s="164">
        <f t="shared" si="2"/>
        <v>9</v>
      </c>
      <c r="O18" s="154"/>
      <c r="P18" s="154"/>
      <c r="Q18" s="155"/>
      <c r="R18" s="155" t="str">
        <f t="shared" si="3"/>
        <v>Subscapular sf</v>
      </c>
      <c r="S18" s="165"/>
      <c r="T18" s="165"/>
      <c r="U18" s="180">
        <f t="shared" si="4"/>
        <v>9</v>
      </c>
      <c r="V18" s="143" t="s">
        <v>27</v>
      </c>
      <c r="W18" s="32">
        <f>1/5.07*(+U18*((170.18/U$14)^1)-17.2)</f>
        <v>-1.4560006068881806</v>
      </c>
      <c r="X18" s="181"/>
      <c r="Y18" s="143"/>
      <c r="Z18" s="145"/>
      <c r="AA18" s="145"/>
    </row>
    <row r="19" spans="1:27" ht="18" customHeight="1">
      <c r="B19" s="161" t="str">
        <f>IF(Info!D34,"Biceps sf","PL Bíceps")</f>
        <v>Biceps sf</v>
      </c>
      <c r="C19" s="116"/>
      <c r="D19" s="116"/>
      <c r="E19" s="122"/>
      <c r="F19" s="110"/>
      <c r="G19" s="259">
        <v>7</v>
      </c>
      <c r="H19" s="259"/>
      <c r="I19" s="85"/>
      <c r="J19" s="134"/>
      <c r="K19" s="182">
        <f t="shared" si="5"/>
        <v>-1</v>
      </c>
      <c r="L19" s="163" t="str">
        <f t="shared" si="6"/>
        <v>Yes</v>
      </c>
      <c r="M19" s="134"/>
      <c r="N19" s="164">
        <f t="shared" si="2"/>
        <v>7</v>
      </c>
      <c r="O19" s="154"/>
      <c r="P19" s="154"/>
      <c r="Q19" s="155"/>
      <c r="R19" s="155" t="str">
        <f t="shared" si="3"/>
        <v>Biceps sf</v>
      </c>
      <c r="S19" s="165"/>
      <c r="T19" s="165"/>
      <c r="U19" s="180">
        <f t="shared" si="4"/>
        <v>7</v>
      </c>
      <c r="V19" s="143" t="s">
        <v>27</v>
      </c>
      <c r="W19" s="32">
        <f>1/2*(+U19*((170.18/U$14)^1)-8)</f>
        <v>-0.18185897435897402</v>
      </c>
      <c r="X19" s="181"/>
      <c r="Y19" s="143"/>
      <c r="Z19" s="145"/>
      <c r="AA19" s="145"/>
    </row>
    <row r="20" spans="1:27" ht="18" customHeight="1">
      <c r="B20" s="161" t="str">
        <f>IF(Info!D34,"Iliac crest sf","PL Cresta Iliaca")</f>
        <v>Iliac crest sf</v>
      </c>
      <c r="C20" s="116"/>
      <c r="D20" s="116"/>
      <c r="E20" s="122"/>
      <c r="F20" s="110"/>
      <c r="G20" s="259">
        <v>27</v>
      </c>
      <c r="H20" s="259">
        <v>26</v>
      </c>
      <c r="I20" s="85"/>
      <c r="J20" s="134"/>
      <c r="K20" s="182">
        <f t="shared" si="5"/>
        <v>-3.7735849056603772E-2</v>
      </c>
      <c r="L20" s="163" t="str">
        <f t="shared" si="6"/>
        <v>No</v>
      </c>
      <c r="M20" s="134"/>
      <c r="N20" s="164">
        <f t="shared" si="2"/>
        <v>26.5</v>
      </c>
      <c r="O20" s="154"/>
      <c r="P20" s="154"/>
      <c r="Q20" s="155"/>
      <c r="R20" s="155" t="str">
        <f t="shared" si="3"/>
        <v>Iliac crest sf</v>
      </c>
      <c r="S20" s="165"/>
      <c r="T20" s="165"/>
      <c r="U20" s="180">
        <f t="shared" si="4"/>
        <v>26.5</v>
      </c>
      <c r="V20" s="143" t="s">
        <v>28</v>
      </c>
      <c r="W20" s="32">
        <f>1/6.8*(+U20*((170.18/U$14)^1)-22.4)</f>
        <v>0.95717383107089038</v>
      </c>
      <c r="X20" s="181"/>
      <c r="Y20" s="143"/>
      <c r="Z20" s="145"/>
      <c r="AA20" s="145"/>
    </row>
    <row r="21" spans="1:27" ht="18" customHeight="1">
      <c r="B21" s="161" t="str">
        <f>IF(Info!D34,"Supraspinale sf","PL Supraespinal")</f>
        <v>Supraspinale sf</v>
      </c>
      <c r="C21" s="116"/>
      <c r="D21" s="116"/>
      <c r="E21" s="122"/>
      <c r="F21" s="110"/>
      <c r="G21" s="259">
        <v>9.5</v>
      </c>
      <c r="H21" s="259">
        <v>9.5</v>
      </c>
      <c r="I21" s="85"/>
      <c r="J21" s="134"/>
      <c r="K21" s="162">
        <f t="shared" si="5"/>
        <v>0</v>
      </c>
      <c r="L21" s="163" t="str">
        <f t="shared" si="6"/>
        <v>No</v>
      </c>
      <c r="M21" s="134"/>
      <c r="N21" s="164">
        <f t="shared" si="2"/>
        <v>9.5</v>
      </c>
      <c r="O21" s="154"/>
      <c r="P21" s="154"/>
      <c r="Q21" s="155"/>
      <c r="R21" s="155" t="str">
        <f t="shared" si="3"/>
        <v>Supraspinale sf</v>
      </c>
      <c r="S21" s="165"/>
      <c r="T21" s="165"/>
      <c r="U21" s="180">
        <f t="shared" si="4"/>
        <v>9.5</v>
      </c>
      <c r="V21" s="143" t="s">
        <v>27</v>
      </c>
      <c r="W21" s="32">
        <f>1/4.47*(+U21*((170.18/U$14)^1)-15.4)</f>
        <v>-1.1267280445132797</v>
      </c>
      <c r="X21" s="181"/>
      <c r="Y21" s="143"/>
      <c r="Z21" s="145"/>
      <c r="AA21" s="145"/>
    </row>
    <row r="22" spans="1:27" ht="18" customHeight="1">
      <c r="B22" s="161" t="str">
        <f>IF(Info!D34,"Abdominal sf","PL Abdominal")</f>
        <v>Abdominal sf</v>
      </c>
      <c r="C22" s="116"/>
      <c r="D22" s="116"/>
      <c r="E22" s="122"/>
      <c r="F22" s="110"/>
      <c r="G22" s="259">
        <v>19</v>
      </c>
      <c r="H22" s="259"/>
      <c r="I22" s="85"/>
      <c r="J22" s="134"/>
      <c r="K22" s="162">
        <f t="shared" si="5"/>
        <v>-1</v>
      </c>
      <c r="L22" s="163" t="str">
        <f t="shared" si="6"/>
        <v>Yes</v>
      </c>
      <c r="M22" s="134"/>
      <c r="N22" s="164">
        <f t="shared" si="2"/>
        <v>19</v>
      </c>
      <c r="O22" s="154"/>
      <c r="P22" s="154"/>
      <c r="Q22" s="155"/>
      <c r="R22" s="155" t="str">
        <f t="shared" si="3"/>
        <v>Abdominal sf</v>
      </c>
      <c r="S22" s="165"/>
      <c r="T22" s="165"/>
      <c r="U22" s="180">
        <f t="shared" si="4"/>
        <v>19</v>
      </c>
      <c r="V22" s="143" t="s">
        <v>27</v>
      </c>
      <c r="W22" s="32">
        <f>1/7.78*(+U22*((170.18/U$14)^1)-25.4)</f>
        <v>-0.60063608199854979</v>
      </c>
      <c r="X22" s="181"/>
      <c r="Y22" s="143"/>
      <c r="Z22" s="145"/>
      <c r="AA22" s="145"/>
    </row>
    <row r="23" spans="1:27" ht="18" customHeight="1">
      <c r="B23" s="161" t="str">
        <f>IF(Info!D34,"Thigh sf","PL Muslo")</f>
        <v>Thigh sf</v>
      </c>
      <c r="C23" s="116"/>
      <c r="D23" s="116"/>
      <c r="E23" s="122"/>
      <c r="F23" s="110"/>
      <c r="G23" s="259">
        <v>30</v>
      </c>
      <c r="H23" s="259"/>
      <c r="I23" s="85"/>
      <c r="J23" s="134"/>
      <c r="K23" s="182">
        <f t="shared" si="5"/>
        <v>-1</v>
      </c>
      <c r="L23" s="163" t="str">
        <f t="shared" si="6"/>
        <v>Yes</v>
      </c>
      <c r="M23" s="134"/>
      <c r="N23" s="164">
        <f t="shared" si="2"/>
        <v>30</v>
      </c>
      <c r="O23" s="154"/>
      <c r="P23" s="154"/>
      <c r="Q23" s="155"/>
      <c r="R23" s="155" t="str">
        <f t="shared" si="3"/>
        <v>Thigh sf</v>
      </c>
      <c r="S23" s="165"/>
      <c r="T23" s="165"/>
      <c r="U23" s="180">
        <f t="shared" si="4"/>
        <v>30</v>
      </c>
      <c r="V23" s="143" t="s">
        <v>27</v>
      </c>
      <c r="W23" s="32">
        <f>1/8.33*(+U23*((170.18/U$14)^1)-27)</f>
        <v>0.68750577153938519</v>
      </c>
      <c r="X23" s="181"/>
      <c r="Y23" s="143"/>
      <c r="Z23" s="145"/>
      <c r="AA23" s="145"/>
    </row>
    <row r="24" spans="1:27" ht="18" customHeight="1" thickBot="1">
      <c r="B24" s="183" t="str">
        <f>IF(Info!D34,"Calf sf","PL Pierna")</f>
        <v>Calf sf</v>
      </c>
      <c r="C24" s="184"/>
      <c r="D24" s="184"/>
      <c r="E24" s="185"/>
      <c r="F24" s="186"/>
      <c r="G24" s="260">
        <v>20</v>
      </c>
      <c r="H24" s="260"/>
      <c r="I24" s="86"/>
      <c r="J24" s="187"/>
      <c r="K24" s="182">
        <f t="shared" si="5"/>
        <v>-1</v>
      </c>
      <c r="L24" s="188" t="str">
        <f t="shared" si="6"/>
        <v>Yes</v>
      </c>
      <c r="M24" s="187"/>
      <c r="N24" s="189">
        <f t="shared" si="2"/>
        <v>20</v>
      </c>
      <c r="O24" s="154"/>
      <c r="P24" s="154"/>
      <c r="Q24" s="155"/>
      <c r="R24" s="168" t="str">
        <f t="shared" si="3"/>
        <v>Calf sf</v>
      </c>
      <c r="S24" s="169"/>
      <c r="T24" s="169"/>
      <c r="U24" s="170">
        <f t="shared" si="4"/>
        <v>20</v>
      </c>
      <c r="V24" s="173" t="s">
        <v>27</v>
      </c>
      <c r="W24" s="33">
        <f>1/4.67*(+U24*((170.18/U$14)^1)-16)</f>
        <v>1.2458134299676054</v>
      </c>
      <c r="X24" s="172"/>
      <c r="Y24" s="173"/>
      <c r="Z24" s="174"/>
      <c r="AA24" s="145"/>
    </row>
    <row r="25" spans="1:27" ht="18" customHeight="1">
      <c r="B25" s="161" t="str">
        <f>IF(Info!D34,"Arm girth relaxed","PR Brazo relajado")</f>
        <v>Arm girth relaxed</v>
      </c>
      <c r="C25" s="116"/>
      <c r="D25" s="116"/>
      <c r="E25" s="122"/>
      <c r="F25" s="110"/>
      <c r="G25" s="259">
        <v>27.5</v>
      </c>
      <c r="H25" s="259"/>
      <c r="I25" s="85"/>
      <c r="J25" s="134"/>
      <c r="K25" s="151">
        <f t="shared" si="5"/>
        <v>-1</v>
      </c>
      <c r="L25" s="163" t="str">
        <f>IF(ABS(K25)&gt;1%,"Yes","No")</f>
        <v>Yes</v>
      </c>
      <c r="M25" s="134"/>
      <c r="N25" s="164">
        <f t="shared" si="2"/>
        <v>27.5</v>
      </c>
      <c r="O25" s="154"/>
      <c r="P25" s="154"/>
      <c r="Q25" s="155"/>
      <c r="R25" s="155" t="str">
        <f t="shared" si="3"/>
        <v>Arm girth relaxed</v>
      </c>
      <c r="S25" s="165"/>
      <c r="T25" s="165"/>
      <c r="U25" s="180">
        <f t="shared" si="4"/>
        <v>27.5</v>
      </c>
      <c r="V25" s="143" t="s">
        <v>26</v>
      </c>
      <c r="W25" s="32">
        <f>1/2.33*(+U25*((170.18/U$14)^1)-26.89)</f>
        <v>1.3346263893474197</v>
      </c>
      <c r="X25" s="181"/>
      <c r="Y25" s="143"/>
      <c r="Z25" s="145"/>
      <c r="AA25" s="145"/>
    </row>
    <row r="26" spans="1:27" ht="18" customHeight="1">
      <c r="B26" s="190" t="str">
        <f>IF(Info!D34,"Corrected arm girth","PR Brazo corregido")</f>
        <v>Corrected arm girth</v>
      </c>
      <c r="C26" s="191"/>
      <c r="D26" s="191"/>
      <c r="E26" s="192"/>
      <c r="F26" s="193"/>
      <c r="G26" s="261"/>
      <c r="H26" s="261"/>
      <c r="I26" s="79"/>
      <c r="J26" s="194"/>
      <c r="K26" s="195"/>
      <c r="L26" s="196"/>
      <c r="M26" s="194"/>
      <c r="N26" s="197"/>
      <c r="O26" s="154"/>
      <c r="P26" s="154"/>
      <c r="Q26" s="155"/>
      <c r="R26" s="155" t="str">
        <f t="shared" si="3"/>
        <v>Corrected arm girth</v>
      </c>
      <c r="S26" s="165"/>
      <c r="T26" s="165"/>
      <c r="U26" s="198">
        <f>+U25-(PI()*U17/10)</f>
        <v>19.960177631384497</v>
      </c>
      <c r="V26" s="143" t="s">
        <v>26</v>
      </c>
      <c r="W26" s="32">
        <f>1/1.91*(+U26*((170.18/U$14)^1)-22.05)</f>
        <v>-0.14423738317554841</v>
      </c>
      <c r="X26" s="181"/>
      <c r="Y26" s="143"/>
      <c r="Z26" s="145"/>
      <c r="AA26" s="145"/>
    </row>
    <row r="27" spans="1:27" ht="18" customHeight="1">
      <c r="B27" s="199" t="str">
        <f>IF(Info!D34,"Arm girth flexed and tensed","PR Brazo flexionado y contraído")</f>
        <v>Arm girth flexed and tensed</v>
      </c>
      <c r="C27" s="116"/>
      <c r="D27" s="116"/>
      <c r="E27" s="122"/>
      <c r="F27" s="110"/>
      <c r="G27" s="259">
        <v>28.5</v>
      </c>
      <c r="H27" s="259"/>
      <c r="I27" s="85"/>
      <c r="J27" s="134"/>
      <c r="K27" s="182">
        <f t="shared" si="5"/>
        <v>-1</v>
      </c>
      <c r="L27" s="163" t="str">
        <f>IF(ABS(K27)&gt;1%,"Yes","No")</f>
        <v>Yes</v>
      </c>
      <c r="M27" s="134"/>
      <c r="N27" s="164">
        <f>IF(I27=0,AVERAGE(G27,H27),MEDIAN(G27,H27,I27))</f>
        <v>28.5</v>
      </c>
      <c r="O27" s="154"/>
      <c r="P27" s="154"/>
      <c r="Q27" s="155"/>
      <c r="R27" s="155" t="str">
        <f t="shared" ref="R27:R36" si="7">+B27</f>
        <v>Arm girth flexed and tensed</v>
      </c>
      <c r="S27" s="165"/>
      <c r="T27" s="165"/>
      <c r="U27" s="180">
        <f>+N27</f>
        <v>28.5</v>
      </c>
      <c r="V27" s="143" t="s">
        <v>26</v>
      </c>
      <c r="W27" s="32">
        <f>1/2.37*(+U27*((170.18/U$14)^1)-29.41)</f>
        <v>0.70910418695228838</v>
      </c>
      <c r="X27" s="181"/>
      <c r="Y27" s="143"/>
      <c r="Z27" s="145"/>
      <c r="AA27" s="145"/>
    </row>
    <row r="28" spans="1:27" ht="18" customHeight="1">
      <c r="B28" s="200" t="str">
        <f>IF(Info!D34,"Waist girth","PR Cintura")</f>
        <v>Waist girth</v>
      </c>
      <c r="C28" s="116"/>
      <c r="D28" s="116"/>
      <c r="E28" s="122"/>
      <c r="F28" s="110"/>
      <c r="G28" s="259">
        <v>66</v>
      </c>
      <c r="H28" s="259">
        <v>66</v>
      </c>
      <c r="I28" s="85"/>
      <c r="J28" s="134"/>
      <c r="K28" s="182">
        <f t="shared" si="5"/>
        <v>0</v>
      </c>
      <c r="L28" s="163" t="str">
        <f>IF(ABS(K28)&gt;1%,"Yes","No")</f>
        <v>No</v>
      </c>
      <c r="M28" s="134"/>
      <c r="N28" s="164">
        <f>IF(I28=0,AVERAGE(G28,H28),MEDIAN(G28,H28,I28))</f>
        <v>66</v>
      </c>
      <c r="O28" s="154"/>
      <c r="P28" s="154"/>
      <c r="Q28" s="155"/>
      <c r="R28" s="155" t="str">
        <f t="shared" si="7"/>
        <v>Waist girth</v>
      </c>
      <c r="S28" s="165"/>
      <c r="T28" s="165"/>
      <c r="U28" s="180">
        <f>+N28</f>
        <v>66</v>
      </c>
      <c r="V28" s="143" t="s">
        <v>26</v>
      </c>
      <c r="W28" s="32">
        <f>1/4.45*(+U28*((170.18/U$14)^1)-71.91)</f>
        <v>2.0051858254108088E-2</v>
      </c>
      <c r="X28" s="181"/>
      <c r="Y28" s="143"/>
      <c r="Z28" s="145"/>
      <c r="AA28" s="145"/>
    </row>
    <row r="29" spans="1:27" ht="18" customHeight="1">
      <c r="B29" s="200" t="str">
        <f>IF(Info!D34,"Hips girth","PR Caderas")</f>
        <v>Hips girth</v>
      </c>
      <c r="C29" s="116"/>
      <c r="D29" s="116"/>
      <c r="E29" s="122"/>
      <c r="F29" s="110"/>
      <c r="G29" s="259">
        <v>90.5</v>
      </c>
      <c r="H29" s="259">
        <v>92</v>
      </c>
      <c r="I29" s="85"/>
      <c r="J29" s="134"/>
      <c r="K29" s="182">
        <f t="shared" si="5"/>
        <v>1.643835616438356E-2</v>
      </c>
      <c r="L29" s="163" t="str">
        <f>IF(ABS(K29)&gt;1%,"Yes","No")</f>
        <v>Yes</v>
      </c>
      <c r="M29" s="134"/>
      <c r="N29" s="164">
        <f>IF(I29=0,AVERAGE(G29,H29),MEDIAN(G29,H29,I29))</f>
        <v>91.25</v>
      </c>
      <c r="O29" s="154"/>
      <c r="P29" s="154"/>
      <c r="Q29" s="155"/>
      <c r="R29" s="155" t="str">
        <f t="shared" si="7"/>
        <v>Hips girth</v>
      </c>
      <c r="S29" s="165"/>
      <c r="T29" s="165"/>
      <c r="U29" s="180">
        <f>+N29</f>
        <v>91.25</v>
      </c>
      <c r="V29" s="143" t="s">
        <v>26</v>
      </c>
      <c r="W29" s="32">
        <f>1/5.58*(+U29*((170.18/U$14)^1)-94.67)</f>
        <v>0.87354677878871534</v>
      </c>
      <c r="X29" s="181"/>
      <c r="Y29" s="143"/>
      <c r="Z29" s="145"/>
      <c r="AA29" s="145"/>
    </row>
    <row r="30" spans="1:27" ht="18" customHeight="1">
      <c r="B30" s="200" t="str">
        <f>IF(Info!D34,"Thigh middle girth","PR Muslo medio")</f>
        <v>Thigh middle girth</v>
      </c>
      <c r="C30" s="116"/>
      <c r="D30" s="116"/>
      <c r="E30" s="122"/>
      <c r="F30" s="110"/>
      <c r="G30" s="259">
        <v>51</v>
      </c>
      <c r="H30" s="259"/>
      <c r="I30" s="85"/>
      <c r="J30" s="134"/>
      <c r="K30" s="182">
        <f>+(H30-G30)/(AVERAGE(G30:H30))</f>
        <v>-1</v>
      </c>
      <c r="L30" s="163" t="str">
        <f>IF(ABS(K30)&gt;1%,"Yes","No")</f>
        <v>Yes</v>
      </c>
      <c r="M30" s="134"/>
      <c r="N30" s="164">
        <f>IF(I30=0,AVERAGE(G30,H30),MEDIAN(G30,H30,I30))</f>
        <v>51</v>
      </c>
      <c r="O30" s="154"/>
      <c r="P30" s="154"/>
      <c r="Q30" s="155"/>
      <c r="R30" s="155" t="str">
        <f t="shared" si="7"/>
        <v>Thigh middle girth</v>
      </c>
      <c r="S30" s="165"/>
      <c r="T30" s="165"/>
      <c r="U30" s="180">
        <f>+N30</f>
        <v>51</v>
      </c>
      <c r="V30" s="143" t="s">
        <v>26</v>
      </c>
      <c r="W30" s="32">
        <f>1/4.56*(+U30*((170.18/U$14)^1)-53.2)</f>
        <v>0.53415991902834037</v>
      </c>
      <c r="X30" s="181"/>
      <c r="Y30" s="143"/>
      <c r="Z30" s="145"/>
      <c r="AA30" s="145"/>
    </row>
    <row r="31" spans="1:27" ht="18" customHeight="1">
      <c r="B31" s="190" t="str">
        <f>IF(Info!D34,"Corrected thigh girth","PR Muslo corregido")</f>
        <v>Corrected thigh girth</v>
      </c>
      <c r="C31" s="191"/>
      <c r="D31" s="191"/>
      <c r="E31" s="192"/>
      <c r="F31" s="193"/>
      <c r="G31" s="261"/>
      <c r="H31" s="261"/>
      <c r="I31" s="79"/>
      <c r="J31" s="194"/>
      <c r="K31" s="195"/>
      <c r="L31" s="196"/>
      <c r="M31" s="194"/>
      <c r="N31" s="197"/>
      <c r="O31" s="154"/>
      <c r="P31" s="154"/>
      <c r="Q31" s="155"/>
      <c r="R31" s="155" t="str">
        <f t="shared" si="7"/>
        <v>Corrected thigh girth</v>
      </c>
      <c r="S31" s="165"/>
      <c r="T31" s="165"/>
      <c r="U31" s="180">
        <f>+U30-(PI()*U23/10)</f>
        <v>41.575222039230624</v>
      </c>
      <c r="V31" s="143" t="s">
        <v>26</v>
      </c>
      <c r="W31" s="32">
        <f>1/3.59*(+U31*((170.18/U$14)^1)-47.34)</f>
        <v>-0.55311890822750698</v>
      </c>
      <c r="X31" s="181"/>
      <c r="Y31" s="143"/>
      <c r="Z31" s="145"/>
      <c r="AA31" s="145"/>
    </row>
    <row r="32" spans="1:27" ht="18" customHeight="1">
      <c r="B32" s="161" t="str">
        <f>IF(Info!D34,"Calf girth","PR Pierna")</f>
        <v>Calf girth</v>
      </c>
      <c r="C32" s="116"/>
      <c r="D32" s="116"/>
      <c r="E32" s="122"/>
      <c r="F32" s="110"/>
      <c r="G32" s="259">
        <v>33</v>
      </c>
      <c r="H32" s="259"/>
      <c r="I32" s="85"/>
      <c r="J32" s="134"/>
      <c r="K32" s="182">
        <f t="shared" si="5"/>
        <v>-1</v>
      </c>
      <c r="L32" s="163" t="str">
        <f>IF(ABS(K32)&gt;1%,"Yes","No")</f>
        <v>Yes</v>
      </c>
      <c r="M32" s="134"/>
      <c r="N32" s="164">
        <f>IF(I32=0,AVERAGE(G32,H32),MEDIAN(G32,H32,I32))</f>
        <v>33</v>
      </c>
      <c r="O32" s="154"/>
      <c r="P32" s="154"/>
      <c r="Q32" s="155"/>
      <c r="R32" s="155" t="str">
        <f t="shared" si="7"/>
        <v>Calf girth</v>
      </c>
      <c r="S32" s="165"/>
      <c r="T32" s="165"/>
      <c r="U32" s="201">
        <f>+N32</f>
        <v>33</v>
      </c>
      <c r="V32" s="143" t="s">
        <v>26</v>
      </c>
      <c r="W32" s="32">
        <f>1/2.3*(+U32*((170.18/U$14)^1)-35.25)</f>
        <v>0.32591973244147343</v>
      </c>
      <c r="X32" s="181"/>
      <c r="Y32" s="143"/>
      <c r="Z32" s="145"/>
      <c r="AA32" s="145"/>
    </row>
    <row r="33" spans="1:27" ht="18" customHeight="1" thickBot="1">
      <c r="B33" s="202" t="str">
        <f>IF(Info!D34,"Corrected calf girth","PR Pierna corregido")</f>
        <v>Corrected calf girth</v>
      </c>
      <c r="C33" s="203"/>
      <c r="D33" s="203"/>
      <c r="E33" s="204"/>
      <c r="F33" s="205"/>
      <c r="G33" s="80"/>
      <c r="H33" s="80"/>
      <c r="I33" s="80"/>
      <c r="J33" s="206"/>
      <c r="K33" s="195"/>
      <c r="L33" s="207"/>
      <c r="M33" s="206"/>
      <c r="N33" s="208"/>
      <c r="O33" s="154"/>
      <c r="P33" s="154"/>
      <c r="Q33" s="155"/>
      <c r="R33" s="168" t="str">
        <f t="shared" si="7"/>
        <v>Corrected calf girth</v>
      </c>
      <c r="S33" s="169"/>
      <c r="T33" s="169"/>
      <c r="U33" s="170">
        <f>+U32-(PI()*U24/10)</f>
        <v>26.716814692820414</v>
      </c>
      <c r="V33" s="173" t="s">
        <v>26</v>
      </c>
      <c r="W33" s="33">
        <f>1/1.97*(+U33*((170.18/U$14)^1)-30.22)</f>
        <v>-0.54553063769302812</v>
      </c>
      <c r="X33" s="172"/>
      <c r="Y33" s="173"/>
      <c r="Z33" s="174"/>
      <c r="AA33" s="145"/>
    </row>
    <row r="34" spans="1:27" ht="18" customHeight="1" thickBot="1">
      <c r="B34" s="161" t="str">
        <f>IF(Info!D34,"Humerus breadth","D Húmero")</f>
        <v>Humerus breadth</v>
      </c>
      <c r="C34" s="116"/>
      <c r="D34" s="116"/>
      <c r="E34" s="122"/>
      <c r="F34" s="110"/>
      <c r="G34" s="87">
        <v>5.6</v>
      </c>
      <c r="H34" s="87"/>
      <c r="I34" s="87"/>
      <c r="J34" s="134"/>
      <c r="K34" s="151">
        <f t="shared" si="5"/>
        <v>-1</v>
      </c>
      <c r="L34" s="209" t="str">
        <f>IF(ABS(K34)&gt;1%,"Yes","No")</f>
        <v>Yes</v>
      </c>
      <c r="M34" s="134"/>
      <c r="N34" s="210">
        <f>IF(I34=0,AVERAGE(G34,H34),MEDIAN(G34,H34,I34))</f>
        <v>5.6</v>
      </c>
      <c r="O34" s="154"/>
      <c r="P34" s="154"/>
      <c r="Q34" s="155"/>
      <c r="R34" s="155" t="str">
        <f t="shared" si="7"/>
        <v>Humerus breadth</v>
      </c>
      <c r="S34" s="165"/>
      <c r="T34" s="165"/>
      <c r="U34" s="180">
        <f>+N34</f>
        <v>5.6</v>
      </c>
      <c r="V34" s="143" t="s">
        <v>26</v>
      </c>
      <c r="W34" s="32">
        <f>1/0.35*(+U34*((170.18/U$14)^1)-6.48)</f>
        <v>-1.0599267399267427</v>
      </c>
      <c r="X34" s="181"/>
      <c r="Y34" s="143"/>
      <c r="Z34" s="145"/>
      <c r="AA34" s="145"/>
    </row>
    <row r="35" spans="1:27" ht="18" customHeight="1">
      <c r="B35" s="161" t="str">
        <f>IF(Info!D34,"Bi-styloid breadth","D Biestiloideo")</f>
        <v>Bi-styloid breadth</v>
      </c>
      <c r="C35" s="116"/>
      <c r="D35" s="116"/>
      <c r="E35" s="122"/>
      <c r="F35" s="110"/>
      <c r="G35" s="91">
        <v>4.5</v>
      </c>
      <c r="H35" s="91"/>
      <c r="I35" s="91"/>
      <c r="J35" s="134"/>
      <c r="K35" s="151">
        <f>+(H35-G35)/(AVERAGE(G35:H35))</f>
        <v>-1</v>
      </c>
      <c r="L35" s="209" t="str">
        <f>IF(ABS(K35)&gt;1%,"Yes","No")</f>
        <v>Yes</v>
      </c>
      <c r="M35" s="134"/>
      <c r="N35" s="210">
        <f>IF(I35=0,AVERAGE(G35,H35),MEDIAN(G35,H35,I35))</f>
        <v>4.5</v>
      </c>
      <c r="O35" s="154"/>
      <c r="P35" s="154"/>
      <c r="Q35" s="155"/>
      <c r="R35" s="155" t="str">
        <f t="shared" si="7"/>
        <v>Bi-styloid breadth</v>
      </c>
      <c r="S35" s="165"/>
      <c r="T35" s="165"/>
      <c r="U35" s="180">
        <f>+N35</f>
        <v>4.5</v>
      </c>
      <c r="V35" s="143" t="s">
        <v>26</v>
      </c>
      <c r="W35" s="32">
        <f>1/0.28*(+U35*((170.18/U$14)^1)-5.21)</f>
        <v>-1.0748626373626375</v>
      </c>
      <c r="X35" s="181"/>
      <c r="Y35" s="143"/>
      <c r="Z35" s="145"/>
      <c r="AA35" s="145"/>
    </row>
    <row r="36" spans="1:27" ht="18" customHeight="1" thickBot="1">
      <c r="B36" s="183" t="str">
        <f>IF(Info!D34,"Femur breadth","D Fémur")</f>
        <v>Femur breadth</v>
      </c>
      <c r="C36" s="184"/>
      <c r="D36" s="184"/>
      <c r="E36" s="185"/>
      <c r="F36" s="186"/>
      <c r="G36" s="260">
        <v>9</v>
      </c>
      <c r="H36" s="260"/>
      <c r="I36" s="86"/>
      <c r="J36" s="187"/>
      <c r="K36" s="182">
        <f>+(H36-G36)/(AVERAGE(G36:H36))</f>
        <v>-1</v>
      </c>
      <c r="L36" s="188" t="str">
        <f>IF(ABS(K36)&gt;1%,"Yes","No")</f>
        <v>Yes</v>
      </c>
      <c r="M36" s="187"/>
      <c r="N36" s="189">
        <f>IF(I36=0,AVERAGE(G36,H36),MEDIAN(G36,H36,I36))</f>
        <v>9</v>
      </c>
      <c r="O36" s="154"/>
      <c r="P36" s="154"/>
      <c r="Q36" s="155"/>
      <c r="R36" s="211" t="str">
        <f t="shared" si="7"/>
        <v>Femur breadth</v>
      </c>
      <c r="S36" s="212"/>
      <c r="T36" s="212"/>
      <c r="U36" s="213">
        <f>+N36</f>
        <v>9</v>
      </c>
      <c r="V36" s="214" t="s">
        <v>26</v>
      </c>
      <c r="W36" s="215">
        <f>1/0.48*(+U36*((170.18/U$14)^1)-9.52)</f>
        <v>0.62099358974359031</v>
      </c>
      <c r="X36" s="214"/>
      <c r="Y36" s="214"/>
      <c r="Z36" s="216"/>
      <c r="AA36" s="145"/>
    </row>
    <row r="37" spans="1:27" ht="18" customHeight="1">
      <c r="Q37" s="113"/>
      <c r="AA37" s="145"/>
    </row>
    <row r="38" spans="1:27" ht="13.8" thickBot="1">
      <c r="B38" s="217"/>
      <c r="C38" s="218"/>
      <c r="D38" s="218"/>
      <c r="E38" s="218"/>
      <c r="F38" s="218"/>
      <c r="G38" s="218"/>
      <c r="H38" s="218"/>
      <c r="I38" s="219"/>
      <c r="J38" s="219"/>
      <c r="K38" s="219"/>
      <c r="L38" s="220"/>
      <c r="M38" s="220"/>
      <c r="N38" s="124"/>
      <c r="Q38" s="113"/>
      <c r="R38" s="124"/>
      <c r="S38" s="124"/>
      <c r="T38" s="124"/>
      <c r="U38" s="221"/>
      <c r="V38" s="124"/>
      <c r="W38" s="124"/>
      <c r="X38" s="221"/>
      <c r="Y38" s="221"/>
      <c r="Z38" s="124"/>
      <c r="AA38" s="145"/>
    </row>
    <row r="39" spans="1:27" ht="13.8" thickTop="1">
      <c r="B39" s="222"/>
      <c r="C39" s="222"/>
      <c r="D39" s="223" t="s">
        <v>31</v>
      </c>
      <c r="E39" s="222" t="s">
        <v>32</v>
      </c>
      <c r="F39" s="222" t="s">
        <v>33</v>
      </c>
      <c r="G39" s="223" t="str">
        <f>IF(Info!D34,"3rd measure taken?","¿3ª medida tomada?")</f>
        <v>3rd measure taken?</v>
      </c>
      <c r="H39" s="223" t="str">
        <f>IF(Info!D34,"3rd measure requested?","¿3ª medida solicitada?")</f>
        <v>3rd measure requested?</v>
      </c>
      <c r="I39" s="223" t="str">
        <f>IF(Info!D34,"He/she has not done 1st measure","No se ha realizado la 1ª medición")</f>
        <v>He/she has not done 1st measure</v>
      </c>
      <c r="J39" s="223" t="str">
        <f>IF(Info!E34,"He/she has not done 2nd measure","No se ha realizado la 2ª medición")</f>
        <v>No se ha realizado la 2ª medición</v>
      </c>
      <c r="K39" s="224"/>
      <c r="L39" s="225"/>
      <c r="M39" s="225"/>
      <c r="N39" s="224"/>
      <c r="Q39" s="113"/>
      <c r="R39" s="105"/>
      <c r="S39" s="119"/>
      <c r="T39" s="119"/>
      <c r="U39" s="119"/>
      <c r="V39" s="119"/>
      <c r="W39" s="119"/>
      <c r="X39" s="119"/>
      <c r="Y39" s="119"/>
      <c r="Z39" s="179"/>
      <c r="AA39" s="145"/>
    </row>
    <row r="40" spans="1:27">
      <c r="B40" s="223" t="str">
        <f>B13</f>
        <v>Mass</v>
      </c>
      <c r="C40" s="222"/>
      <c r="D40" s="223">
        <f>IF(G13=H13,1,0)</f>
        <v>0</v>
      </c>
      <c r="E40" s="223">
        <f>IF(G13=I13,1,0)</f>
        <v>0</v>
      </c>
      <c r="F40" s="223">
        <f>IF(H13=I13,1,0)</f>
        <v>1</v>
      </c>
      <c r="G40" s="223">
        <f>IF(I13="",0,1)</f>
        <v>0</v>
      </c>
      <c r="H40" s="222">
        <f>IF(L13="Yes",1,0)</f>
        <v>1</v>
      </c>
      <c r="I40" s="224">
        <f>COUNTIF(G13,"")</f>
        <v>0</v>
      </c>
      <c r="J40" s="224">
        <f>COUNTIF(H13,"")</f>
        <v>1</v>
      </c>
      <c r="K40" s="224"/>
      <c r="L40" s="225"/>
      <c r="M40" s="225"/>
      <c r="N40" s="224"/>
      <c r="Q40" s="113"/>
      <c r="R40" s="113"/>
      <c r="S40" s="226" t="str">
        <f>'3'!S40</f>
        <v>Somatotype</v>
      </c>
      <c r="T40" s="227" t="str">
        <f>IF(Info!D34,"Endomorphy","Endomorfia")</f>
        <v>Endomorphy</v>
      </c>
      <c r="U40" s="201">
        <f>-0.7182+0.1451*((U17+U18+U21)*(170.18/U14))-0.00068*(((U17+U18+U21)*(170.18/U14))^2)+0.0000014*(((U17+U18+U21)*(170.18/U14))^3)</f>
        <v>4.68692723922286</v>
      </c>
      <c r="V40" s="124"/>
      <c r="W40" s="124"/>
      <c r="X40" s="124"/>
      <c r="Y40" s="124"/>
      <c r="Z40" s="145"/>
      <c r="AA40" s="145"/>
    </row>
    <row r="41" spans="1:27" s="109" customFormat="1">
      <c r="A41" s="104"/>
      <c r="B41" s="223" t="str">
        <f t="shared" ref="B41:B62" si="8">B14</f>
        <v>Stature</v>
      </c>
      <c r="C41" s="222"/>
      <c r="D41" s="223">
        <f t="shared" ref="D41:D62" si="9">IF(G14=H14,1,0)</f>
        <v>0</v>
      </c>
      <c r="E41" s="223">
        <f t="shared" ref="E41:E62" si="10">IF(G14=I14,1,0)</f>
        <v>0</v>
      </c>
      <c r="F41" s="223">
        <f t="shared" ref="F41:F62" si="11">IF(H14=I14,1,0)</f>
        <v>1</v>
      </c>
      <c r="G41" s="223">
        <f t="shared" ref="G41:G62" si="12">IF(I14="",0,1)</f>
        <v>0</v>
      </c>
      <c r="H41" s="222">
        <f t="shared" ref="H41:H62" si="13">IF(L14="Yes",1,0)</f>
        <v>1</v>
      </c>
      <c r="I41" s="224">
        <f t="shared" ref="I41:J56" si="14">COUNTIF(G14,"")</f>
        <v>0</v>
      </c>
      <c r="J41" s="224">
        <f t="shared" si="14"/>
        <v>1</v>
      </c>
      <c r="K41" s="224"/>
      <c r="L41" s="225"/>
      <c r="M41" s="225"/>
      <c r="N41" s="224"/>
      <c r="O41" s="104"/>
      <c r="P41" s="104"/>
      <c r="Q41" s="113"/>
      <c r="R41" s="113"/>
      <c r="S41" s="227" t="str">
        <f>'3'!S41</f>
        <v>(Heath-Carter)</v>
      </c>
      <c r="T41" s="227" t="str">
        <f>IF(Info!D34,"Mesomorphy","Mesomorfia")</f>
        <v>Mesomorphy</v>
      </c>
      <c r="U41" s="201">
        <f>(0.858*U34)+(0.601*U36)+(0.188*(U27-(U17/10)))+(0.161*(U32-(U24/10)))-(0.131*U14)+4.5</f>
        <v>4.1755999999999993</v>
      </c>
      <c r="V41" s="126"/>
      <c r="W41" s="228"/>
      <c r="X41" s="34"/>
      <c r="Y41" s="126"/>
      <c r="Z41" s="115"/>
      <c r="AA41" s="115"/>
    </row>
    <row r="42" spans="1:27" s="109" customFormat="1">
      <c r="B42" s="223" t="str">
        <f t="shared" si="8"/>
        <v>Sitting height</v>
      </c>
      <c r="C42" s="224"/>
      <c r="D42" s="223">
        <f t="shared" si="9"/>
        <v>0</v>
      </c>
      <c r="E42" s="223">
        <f t="shared" si="10"/>
        <v>0</v>
      </c>
      <c r="F42" s="223">
        <f t="shared" si="11"/>
        <v>1</v>
      </c>
      <c r="G42" s="223">
        <f t="shared" si="12"/>
        <v>0</v>
      </c>
      <c r="H42" s="222">
        <f t="shared" si="13"/>
        <v>1</v>
      </c>
      <c r="I42" s="224">
        <f t="shared" si="14"/>
        <v>0</v>
      </c>
      <c r="J42" s="224">
        <f t="shared" si="14"/>
        <v>1</v>
      </c>
      <c r="K42" s="224"/>
      <c r="L42" s="225"/>
      <c r="M42" s="225"/>
      <c r="N42" s="224"/>
      <c r="O42" s="104"/>
      <c r="P42" s="104"/>
      <c r="Q42" s="113"/>
      <c r="R42" s="113"/>
      <c r="S42" s="124"/>
      <c r="T42" s="227" t="str">
        <f>IF(Info!D34,"Ectomorphy","Ectomorfia")</f>
        <v>Ectomorphy</v>
      </c>
      <c r="U42" s="201">
        <f>IF(V42&gt;40.75,((0.732*V42)-28.58),IF(V42&gt;38.28,((0.463*V42)-17.63),0.1))</f>
        <v>1.8393868132905844</v>
      </c>
      <c r="V42" s="224">
        <f>U14/(U13^(1/3))</f>
        <v>41.556539362418832</v>
      </c>
      <c r="W42" s="228"/>
      <c r="X42" s="34"/>
      <c r="Y42" s="126"/>
      <c r="Z42" s="115"/>
      <c r="AA42" s="115"/>
    </row>
    <row r="43" spans="1:27" s="109" customFormat="1">
      <c r="B43" s="223" t="str">
        <f t="shared" si="8"/>
        <v>Arm Span</v>
      </c>
      <c r="C43" s="224"/>
      <c r="D43" s="223">
        <f t="shared" si="9"/>
        <v>0</v>
      </c>
      <c r="E43" s="223">
        <f t="shared" si="10"/>
        <v>0</v>
      </c>
      <c r="F43" s="223">
        <f t="shared" si="11"/>
        <v>1</v>
      </c>
      <c r="G43" s="223">
        <f t="shared" si="12"/>
        <v>0</v>
      </c>
      <c r="H43" s="222">
        <f t="shared" si="13"/>
        <v>1</v>
      </c>
      <c r="I43" s="224">
        <f t="shared" si="14"/>
        <v>0</v>
      </c>
      <c r="J43" s="224">
        <f t="shared" si="14"/>
        <v>1</v>
      </c>
      <c r="K43" s="224"/>
      <c r="L43" s="225"/>
      <c r="M43" s="225"/>
      <c r="N43" s="224"/>
      <c r="O43" s="104"/>
      <c r="P43" s="104"/>
      <c r="Q43" s="113"/>
      <c r="R43" s="113"/>
      <c r="S43" s="124"/>
      <c r="V43" s="126"/>
      <c r="W43" s="228"/>
      <c r="X43" s="34"/>
      <c r="Y43" s="126"/>
      <c r="Z43" s="115"/>
      <c r="AA43" s="115"/>
    </row>
    <row r="44" spans="1:27">
      <c r="A44" s="109"/>
      <c r="B44" s="223" t="str">
        <f t="shared" si="8"/>
        <v>Triceps sf</v>
      </c>
      <c r="C44" s="222"/>
      <c r="D44" s="223">
        <f t="shared" si="9"/>
        <v>0</v>
      </c>
      <c r="E44" s="223">
        <f t="shared" si="10"/>
        <v>0</v>
      </c>
      <c r="F44" s="223">
        <f t="shared" si="11"/>
        <v>1</v>
      </c>
      <c r="G44" s="223">
        <f t="shared" si="12"/>
        <v>0</v>
      </c>
      <c r="H44" s="222">
        <f t="shared" si="13"/>
        <v>1</v>
      </c>
      <c r="I44" s="224">
        <f t="shared" si="14"/>
        <v>0</v>
      </c>
      <c r="J44" s="224">
        <f t="shared" si="14"/>
        <v>1</v>
      </c>
      <c r="K44" s="224"/>
      <c r="L44" s="225"/>
      <c r="M44" s="225"/>
      <c r="N44" s="224"/>
      <c r="Q44" s="113"/>
      <c r="R44" s="113"/>
      <c r="S44" s="226" t="str">
        <f>'3'!S44</f>
        <v>Body Mass Index (MBI)</v>
      </c>
      <c r="T44" s="229"/>
      <c r="U44" s="201">
        <f>+U13/(U14/100)^2</f>
        <v>21.737343852728465</v>
      </c>
      <c r="V44" s="230" t="str">
        <f>'3'!V44</f>
        <v>kg/m2</v>
      </c>
      <c r="W44" s="227"/>
      <c r="X44" s="231"/>
      <c r="Y44" s="124"/>
      <c r="Z44" s="145"/>
      <c r="AA44" s="145"/>
    </row>
    <row r="45" spans="1:27">
      <c r="B45" s="223" t="str">
        <f t="shared" si="8"/>
        <v>Subscapular sf</v>
      </c>
      <c r="C45" s="222"/>
      <c r="D45" s="223">
        <f t="shared" si="9"/>
        <v>0</v>
      </c>
      <c r="E45" s="223">
        <f t="shared" si="10"/>
        <v>0</v>
      </c>
      <c r="F45" s="223">
        <f t="shared" si="11"/>
        <v>1</v>
      </c>
      <c r="G45" s="223">
        <f t="shared" si="12"/>
        <v>0</v>
      </c>
      <c r="H45" s="222">
        <f t="shared" si="13"/>
        <v>1</v>
      </c>
      <c r="I45" s="224">
        <f t="shared" si="14"/>
        <v>0</v>
      </c>
      <c r="J45" s="224">
        <f t="shared" si="14"/>
        <v>1</v>
      </c>
      <c r="K45" s="224"/>
      <c r="L45" s="225"/>
      <c r="M45" s="225"/>
      <c r="N45" s="224"/>
      <c r="Q45" s="113"/>
      <c r="R45" s="113"/>
      <c r="S45" s="124"/>
      <c r="T45" s="124"/>
      <c r="U45" s="229"/>
      <c r="V45" s="124"/>
      <c r="W45" s="124"/>
      <c r="X45" s="229"/>
      <c r="Y45" s="124"/>
      <c r="Z45" s="145"/>
      <c r="AA45" s="145"/>
    </row>
    <row r="46" spans="1:27" s="109" customFormat="1">
      <c r="A46" s="104"/>
      <c r="B46" s="223" t="str">
        <f t="shared" si="8"/>
        <v>Biceps sf</v>
      </c>
      <c r="C46" s="222"/>
      <c r="D46" s="223">
        <f t="shared" si="9"/>
        <v>0</v>
      </c>
      <c r="E46" s="223">
        <f t="shared" si="10"/>
        <v>0</v>
      </c>
      <c r="F46" s="223">
        <f t="shared" si="11"/>
        <v>1</v>
      </c>
      <c r="G46" s="223">
        <f t="shared" si="12"/>
        <v>0</v>
      </c>
      <c r="H46" s="222">
        <f t="shared" si="13"/>
        <v>1</v>
      </c>
      <c r="I46" s="224">
        <f t="shared" si="14"/>
        <v>0</v>
      </c>
      <c r="J46" s="224">
        <f t="shared" si="14"/>
        <v>1</v>
      </c>
      <c r="K46" s="224"/>
      <c r="L46" s="225"/>
      <c r="M46" s="225"/>
      <c r="N46" s="224"/>
      <c r="O46" s="104"/>
      <c r="P46" s="104"/>
      <c r="Q46" s="113"/>
      <c r="R46" s="113"/>
      <c r="S46" s="226" t="str">
        <f>'3'!S46</f>
        <v>Waist/Hip ratio</v>
      </c>
      <c r="T46" s="124"/>
      <c r="U46" s="232">
        <f>+U28/U29</f>
        <v>0.72328767123287674</v>
      </c>
      <c r="V46" s="126"/>
      <c r="W46" s="233"/>
      <c r="X46" s="201"/>
      <c r="Y46" s="126"/>
      <c r="Z46" s="115"/>
      <c r="AA46" s="115"/>
    </row>
    <row r="47" spans="1:27" s="109" customFormat="1">
      <c r="A47" s="234"/>
      <c r="B47" s="223" t="str">
        <f t="shared" si="8"/>
        <v>Iliac crest sf</v>
      </c>
      <c r="C47" s="222"/>
      <c r="D47" s="223">
        <f t="shared" si="9"/>
        <v>0</v>
      </c>
      <c r="E47" s="223">
        <f t="shared" si="10"/>
        <v>0</v>
      </c>
      <c r="F47" s="223">
        <f t="shared" si="11"/>
        <v>0</v>
      </c>
      <c r="G47" s="223">
        <f t="shared" si="12"/>
        <v>0</v>
      </c>
      <c r="H47" s="222">
        <f t="shared" si="13"/>
        <v>0</v>
      </c>
      <c r="I47" s="224">
        <f t="shared" si="14"/>
        <v>0</v>
      </c>
      <c r="J47" s="224">
        <f t="shared" si="14"/>
        <v>0</v>
      </c>
      <c r="K47" s="224"/>
      <c r="L47" s="224"/>
      <c r="M47" s="224"/>
      <c r="N47" s="224"/>
      <c r="O47" s="104"/>
      <c r="P47" s="104"/>
      <c r="Q47" s="113"/>
      <c r="R47" s="113"/>
      <c r="S47" s="104"/>
      <c r="T47" s="104"/>
      <c r="U47" s="104"/>
      <c r="V47" s="126"/>
      <c r="W47" s="233"/>
      <c r="X47" s="201"/>
      <c r="Y47" s="126"/>
      <c r="Z47" s="115"/>
      <c r="AA47" s="115"/>
    </row>
    <row r="48" spans="1:27" s="109" customFormat="1">
      <c r="B48" s="223" t="str">
        <f t="shared" si="8"/>
        <v>Supraspinale sf</v>
      </c>
      <c r="C48" s="222"/>
      <c r="D48" s="223">
        <f t="shared" si="9"/>
        <v>1</v>
      </c>
      <c r="E48" s="223">
        <f t="shared" si="10"/>
        <v>0</v>
      </c>
      <c r="F48" s="223">
        <f t="shared" si="11"/>
        <v>0</v>
      </c>
      <c r="G48" s="223">
        <f t="shared" si="12"/>
        <v>0</v>
      </c>
      <c r="H48" s="222">
        <f t="shared" si="13"/>
        <v>0</v>
      </c>
      <c r="I48" s="224">
        <f t="shared" si="14"/>
        <v>0</v>
      </c>
      <c r="J48" s="224">
        <f t="shared" si="14"/>
        <v>0</v>
      </c>
      <c r="K48" s="224"/>
      <c r="L48" s="224"/>
      <c r="M48" s="224"/>
      <c r="N48" s="224"/>
      <c r="O48" s="104"/>
      <c r="P48" s="104"/>
      <c r="Q48" s="113"/>
      <c r="R48" s="113"/>
      <c r="S48" s="226" t="str">
        <f>'3'!S48</f>
        <v>Sum of 6 skinfolds</v>
      </c>
      <c r="T48" s="104"/>
      <c r="U48" s="235">
        <f>SUM(U17:U18,U21:U24)</f>
        <v>111.5</v>
      </c>
      <c r="V48" s="227" t="str">
        <f>'3'!V48</f>
        <v>mm</v>
      </c>
      <c r="W48" s="233"/>
      <c r="X48" s="201"/>
      <c r="Y48" s="126"/>
      <c r="Z48" s="115"/>
      <c r="AA48" s="115"/>
    </row>
    <row r="49" spans="1:27" s="109" customFormat="1">
      <c r="B49" s="223" t="str">
        <f t="shared" si="8"/>
        <v>Abdominal sf</v>
      </c>
      <c r="C49" s="222"/>
      <c r="D49" s="223">
        <f t="shared" si="9"/>
        <v>0</v>
      </c>
      <c r="E49" s="223">
        <f t="shared" si="10"/>
        <v>0</v>
      </c>
      <c r="F49" s="223">
        <f t="shared" si="11"/>
        <v>1</v>
      </c>
      <c r="G49" s="223">
        <f t="shared" si="12"/>
        <v>0</v>
      </c>
      <c r="H49" s="222">
        <f t="shared" si="13"/>
        <v>1</v>
      </c>
      <c r="I49" s="224">
        <f>COUNTIF(G22,"")</f>
        <v>0</v>
      </c>
      <c r="J49" s="224">
        <f t="shared" si="14"/>
        <v>1</v>
      </c>
      <c r="K49" s="224"/>
      <c r="L49" s="224"/>
      <c r="M49" s="224"/>
      <c r="N49" s="224"/>
      <c r="Q49" s="236"/>
      <c r="R49" s="236"/>
      <c r="S49" s="226" t="str">
        <f>'3'!S49</f>
        <v>Sum of 8 skinfolds</v>
      </c>
      <c r="T49" s="104"/>
      <c r="U49" s="235">
        <f>SUM(U17:U24)</f>
        <v>145</v>
      </c>
      <c r="V49" s="227" t="str">
        <f>'3'!V49</f>
        <v>mm</v>
      </c>
      <c r="W49" s="126"/>
      <c r="X49" s="232"/>
      <c r="Y49" s="126"/>
      <c r="Z49" s="115"/>
      <c r="AA49" s="115"/>
    </row>
    <row r="50" spans="1:27">
      <c r="A50" s="109"/>
      <c r="B50" s="223" t="str">
        <f t="shared" si="8"/>
        <v>Thigh sf</v>
      </c>
      <c r="C50" s="222"/>
      <c r="D50" s="223">
        <f t="shared" si="9"/>
        <v>0</v>
      </c>
      <c r="E50" s="223">
        <f t="shared" si="10"/>
        <v>0</v>
      </c>
      <c r="F50" s="223">
        <f t="shared" si="11"/>
        <v>1</v>
      </c>
      <c r="G50" s="223">
        <f t="shared" si="12"/>
        <v>0</v>
      </c>
      <c r="H50" s="222">
        <f t="shared" si="13"/>
        <v>1</v>
      </c>
      <c r="I50" s="224">
        <f t="shared" si="14"/>
        <v>0</v>
      </c>
      <c r="J50" s="224">
        <f t="shared" si="14"/>
        <v>1</v>
      </c>
      <c r="K50" s="224"/>
      <c r="L50" s="224"/>
      <c r="M50" s="224"/>
      <c r="N50" s="224"/>
      <c r="O50" s="109"/>
      <c r="P50" s="109"/>
      <c r="Q50" s="236"/>
      <c r="R50" s="236"/>
      <c r="V50" s="124"/>
      <c r="W50" s="124"/>
      <c r="X50" s="237"/>
      <c r="Y50" s="124"/>
      <c r="Z50" s="145"/>
      <c r="AA50" s="145"/>
    </row>
    <row r="51" spans="1:27">
      <c r="B51" s="223" t="str">
        <f t="shared" si="8"/>
        <v>Calf sf</v>
      </c>
      <c r="C51" s="222"/>
      <c r="D51" s="223">
        <f t="shared" si="9"/>
        <v>0</v>
      </c>
      <c r="E51" s="223">
        <f t="shared" si="10"/>
        <v>0</v>
      </c>
      <c r="F51" s="223">
        <f t="shared" si="11"/>
        <v>1</v>
      </c>
      <c r="G51" s="223">
        <f t="shared" si="12"/>
        <v>0</v>
      </c>
      <c r="H51" s="222">
        <f t="shared" si="13"/>
        <v>1</v>
      </c>
      <c r="I51" s="224">
        <f t="shared" si="14"/>
        <v>0</v>
      </c>
      <c r="J51" s="224">
        <f t="shared" si="14"/>
        <v>1</v>
      </c>
      <c r="K51" s="224"/>
      <c r="L51" s="224"/>
      <c r="M51" s="224"/>
      <c r="N51" s="224"/>
      <c r="Q51" s="113"/>
      <c r="R51" s="113"/>
      <c r="S51" s="226" t="str">
        <f>'3'!S51</f>
        <v>Fat percentage</v>
      </c>
      <c r="T51" s="238"/>
      <c r="U51" s="35">
        <f>IF(U8=1,0.735*(U17+U24)+1,0.61*(U17+U24)+5.1)</f>
        <v>31.939999999999998</v>
      </c>
      <c r="V51" s="227" t="str">
        <f>'3'!V51</f>
        <v>(Slaughter)</v>
      </c>
      <c r="X51" s="229"/>
      <c r="Y51" s="124"/>
      <c r="Z51" s="145"/>
      <c r="AA51" s="145"/>
    </row>
    <row r="52" spans="1:27">
      <c r="B52" s="223" t="str">
        <f t="shared" si="8"/>
        <v>Arm girth relaxed</v>
      </c>
      <c r="C52" s="222"/>
      <c r="D52" s="223">
        <f t="shared" si="9"/>
        <v>0</v>
      </c>
      <c r="E52" s="223">
        <f t="shared" si="10"/>
        <v>0</v>
      </c>
      <c r="F52" s="223">
        <f t="shared" si="11"/>
        <v>1</v>
      </c>
      <c r="G52" s="223">
        <f t="shared" si="12"/>
        <v>0</v>
      </c>
      <c r="H52" s="222">
        <f t="shared" si="13"/>
        <v>1</v>
      </c>
      <c r="I52" s="224">
        <f t="shared" si="14"/>
        <v>0</v>
      </c>
      <c r="J52" s="224">
        <f t="shared" si="14"/>
        <v>1</v>
      </c>
      <c r="K52" s="224"/>
      <c r="L52" s="224"/>
      <c r="M52" s="224"/>
      <c r="N52" s="224"/>
      <c r="Q52" s="113"/>
      <c r="R52" s="113"/>
      <c r="U52" s="35">
        <f>IF(U8=1,0.153*(U17+U18+U21+U22)+5.783,0.213*(U17+U18+U21+U22)+7.9)</f>
        <v>20.999499999999998</v>
      </c>
      <c r="V52" s="227" t="str">
        <f>'3'!V52</f>
        <v>(Faulkner, from Yuhasz)</v>
      </c>
      <c r="X52" s="235"/>
      <c r="Y52" s="227"/>
      <c r="Z52" s="145"/>
      <c r="AA52" s="145"/>
    </row>
    <row r="53" spans="1:27">
      <c r="B53" s="222"/>
      <c r="C53" s="224"/>
      <c r="D53" s="224"/>
      <c r="E53" s="224"/>
      <c r="F53" s="224"/>
      <c r="G53" s="224"/>
      <c r="H53" s="224"/>
      <c r="I53" s="224"/>
      <c r="J53" s="224"/>
      <c r="K53" s="224"/>
      <c r="L53" s="224"/>
      <c r="M53" s="224"/>
      <c r="N53" s="224"/>
      <c r="Q53" s="113"/>
      <c r="R53" s="113"/>
      <c r="U53" s="35">
        <f>IF(U8=1,0.1051*(U48)+2.58,0.1548*(U48)+3.58)</f>
        <v>20.840199999999996</v>
      </c>
      <c r="V53" s="227" t="str">
        <f>'3'!V53</f>
        <v>(Carter, from Yuhasz)</v>
      </c>
      <c r="X53" s="229"/>
      <c r="Y53" s="227"/>
      <c r="Z53" s="145"/>
      <c r="AA53" s="145"/>
    </row>
    <row r="54" spans="1:27">
      <c r="B54" s="223" t="str">
        <f t="shared" si="8"/>
        <v>Arm girth flexed and tensed</v>
      </c>
      <c r="C54" s="222"/>
      <c r="D54" s="223">
        <f t="shared" si="9"/>
        <v>0</v>
      </c>
      <c r="E54" s="223">
        <f t="shared" si="10"/>
        <v>0</v>
      </c>
      <c r="F54" s="223">
        <f t="shared" si="11"/>
        <v>1</v>
      </c>
      <c r="G54" s="223">
        <f t="shared" si="12"/>
        <v>0</v>
      </c>
      <c r="H54" s="222">
        <f t="shared" si="13"/>
        <v>1</v>
      </c>
      <c r="I54" s="224">
        <f t="shared" si="14"/>
        <v>0</v>
      </c>
      <c r="J54" s="224">
        <f t="shared" si="14"/>
        <v>1</v>
      </c>
      <c r="K54" s="224"/>
      <c r="L54" s="224"/>
      <c r="M54" s="224"/>
      <c r="N54" s="224"/>
      <c r="Q54" s="113"/>
      <c r="R54" s="113"/>
      <c r="S54" s="226" t="str">
        <f>'3'!S54</f>
        <v>Muscle percentage</v>
      </c>
      <c r="U54" s="35">
        <f>(U14/100*(0.00744*U26^2+0.00088*U31^2+0.00441*U33^2)+(2.4*(IF(U8=1,1,0)))-0.048*((U10-U11)/365.25)+IF(U7="1",-2,IF(U7="2",1.1,0))+7.8)*100/U13</f>
        <v>26.188754608322018</v>
      </c>
      <c r="V54" s="239" t="str">
        <f>'3'!V54</f>
        <v>(Lee)</v>
      </c>
      <c r="X54" s="235"/>
      <c r="Y54" s="227"/>
      <c r="Z54" s="145"/>
      <c r="AA54" s="145"/>
    </row>
    <row r="55" spans="1:27">
      <c r="B55" s="223" t="str">
        <f t="shared" si="8"/>
        <v>Waist girth</v>
      </c>
      <c r="C55" s="222"/>
      <c r="D55" s="223">
        <f t="shared" si="9"/>
        <v>1</v>
      </c>
      <c r="E55" s="223">
        <f t="shared" si="10"/>
        <v>0</v>
      </c>
      <c r="F55" s="223">
        <f t="shared" si="11"/>
        <v>0</v>
      </c>
      <c r="G55" s="223">
        <f t="shared" si="12"/>
        <v>0</v>
      </c>
      <c r="H55" s="222">
        <f t="shared" si="13"/>
        <v>0</v>
      </c>
      <c r="I55" s="224">
        <f t="shared" si="14"/>
        <v>0</v>
      </c>
      <c r="J55" s="224">
        <f t="shared" si="14"/>
        <v>0</v>
      </c>
      <c r="K55" s="224"/>
      <c r="L55" s="224">
        <f>COUNTIF(L13:L36,"yes")</f>
        <v>18</v>
      </c>
      <c r="M55" s="224"/>
      <c r="N55" s="224"/>
      <c r="Q55" s="113"/>
      <c r="R55" s="113"/>
      <c r="U55" s="35">
        <f>(U14/100*((0.0064*(U26^2))+(0.0032*(U31^2))+(0.0015*(U33^2)))+(2.56*IF(U8=1,1,0))+(0.136*(U10-U11)/365.25))*100/U13</f>
        <v>58.340506787415421</v>
      </c>
      <c r="V55" s="239" t="str">
        <f>'3'!V55</f>
        <v>(Poortmans)</v>
      </c>
      <c r="X55" s="240"/>
      <c r="Y55" s="227"/>
      <c r="Z55" s="145"/>
      <c r="AA55" s="145"/>
    </row>
    <row r="56" spans="1:27">
      <c r="B56" s="223" t="str">
        <f t="shared" si="8"/>
        <v>Hips girth</v>
      </c>
      <c r="C56" s="222"/>
      <c r="D56" s="223">
        <f t="shared" si="9"/>
        <v>0</v>
      </c>
      <c r="E56" s="223">
        <f t="shared" si="10"/>
        <v>0</v>
      </c>
      <c r="F56" s="223">
        <f t="shared" si="11"/>
        <v>0</v>
      </c>
      <c r="G56" s="223">
        <f t="shared" si="12"/>
        <v>0</v>
      </c>
      <c r="H56" s="222">
        <f t="shared" si="13"/>
        <v>1</v>
      </c>
      <c r="I56" s="224">
        <f t="shared" si="14"/>
        <v>0</v>
      </c>
      <c r="J56" s="224">
        <f t="shared" si="14"/>
        <v>0</v>
      </c>
      <c r="K56" s="224"/>
      <c r="L56" s="224"/>
      <c r="M56" s="224"/>
      <c r="N56" s="224"/>
      <c r="Q56" s="113"/>
      <c r="R56" s="113"/>
      <c r="S56" s="226" t="str">
        <f>'3'!S56</f>
        <v>Bone percentage</v>
      </c>
      <c r="U56" s="35">
        <f>(3.02*(((U14/100)^2)*(U35/100)*(U36/100)*400)^0.712)*100/U13</f>
        <v>15.161263275316053</v>
      </c>
      <c r="V56" s="239" t="str">
        <f>'3'!V56</f>
        <v>(Rocha)</v>
      </c>
      <c r="W56" s="241"/>
      <c r="X56" s="233"/>
      <c r="Y56" s="227"/>
      <c r="Z56" s="145"/>
      <c r="AA56" s="145"/>
    </row>
    <row r="57" spans="1:27">
      <c r="B57" s="223" t="str">
        <f t="shared" si="8"/>
        <v>Thigh middle girth</v>
      </c>
      <c r="C57" s="222"/>
      <c r="D57" s="223">
        <f t="shared" si="9"/>
        <v>0</v>
      </c>
      <c r="E57" s="223">
        <f t="shared" si="10"/>
        <v>0</v>
      </c>
      <c r="F57" s="223">
        <f t="shared" si="11"/>
        <v>1</v>
      </c>
      <c r="G57" s="223">
        <f t="shared" si="12"/>
        <v>0</v>
      </c>
      <c r="H57" s="222">
        <f t="shared" si="13"/>
        <v>1</v>
      </c>
      <c r="I57" s="224">
        <f t="shared" ref="I57:J62" si="15">COUNTIF(G30,"")</f>
        <v>0</v>
      </c>
      <c r="J57" s="224">
        <f t="shared" si="15"/>
        <v>1</v>
      </c>
      <c r="K57" s="224"/>
      <c r="L57" s="224"/>
      <c r="M57" s="224"/>
      <c r="N57" s="224"/>
      <c r="Q57" s="113"/>
      <c r="R57" s="113"/>
      <c r="Z57" s="145"/>
      <c r="AA57" s="145"/>
    </row>
    <row r="58" spans="1:27">
      <c r="B58" s="222"/>
      <c r="C58" s="224"/>
      <c r="D58" s="224"/>
      <c r="E58" s="224"/>
      <c r="F58" s="224"/>
      <c r="G58" s="224"/>
      <c r="H58" s="224"/>
      <c r="I58" s="224"/>
      <c r="J58" s="224"/>
      <c r="K58" s="224"/>
      <c r="L58" s="224"/>
      <c r="M58" s="224"/>
      <c r="N58" s="224"/>
      <c r="Q58" s="113"/>
      <c r="R58" s="113"/>
      <c r="Y58" s="124"/>
      <c r="Z58" s="145"/>
      <c r="AA58" s="145"/>
    </row>
    <row r="59" spans="1:27" ht="13.8" thickBot="1">
      <c r="B59" s="223" t="str">
        <f t="shared" si="8"/>
        <v>Calf girth</v>
      </c>
      <c r="C59" s="222"/>
      <c r="D59" s="223">
        <f t="shared" si="9"/>
        <v>0</v>
      </c>
      <c r="E59" s="223">
        <f t="shared" si="10"/>
        <v>0</v>
      </c>
      <c r="F59" s="223">
        <f t="shared" si="11"/>
        <v>1</v>
      </c>
      <c r="G59" s="223">
        <f t="shared" si="12"/>
        <v>0</v>
      </c>
      <c r="H59" s="222">
        <f t="shared" si="13"/>
        <v>1</v>
      </c>
      <c r="I59" s="224">
        <f t="shared" si="15"/>
        <v>0</v>
      </c>
      <c r="J59" s="224">
        <f t="shared" si="15"/>
        <v>1</v>
      </c>
      <c r="K59" s="224"/>
      <c r="L59" s="224"/>
      <c r="M59" s="224"/>
      <c r="N59" s="224"/>
      <c r="Q59" s="113"/>
      <c r="R59" s="135"/>
      <c r="S59" s="136"/>
      <c r="T59" s="136"/>
      <c r="U59" s="136"/>
      <c r="V59" s="136"/>
      <c r="W59" s="136"/>
      <c r="X59" s="136"/>
      <c r="Y59" s="136"/>
      <c r="Z59" s="216"/>
      <c r="AA59" s="145"/>
    </row>
    <row r="60" spans="1:27" ht="14.4" thickTop="1" thickBot="1">
      <c r="B60" s="223"/>
      <c r="C60" s="224"/>
      <c r="D60" s="224"/>
      <c r="E60" s="224"/>
      <c r="F60" s="224"/>
      <c r="G60" s="224"/>
      <c r="H60" s="224"/>
      <c r="I60" s="224"/>
      <c r="J60" s="224"/>
      <c r="K60" s="224"/>
      <c r="L60" s="224"/>
      <c r="M60" s="224"/>
      <c r="N60" s="224"/>
      <c r="Q60" s="135"/>
      <c r="R60" s="136"/>
      <c r="S60" s="136"/>
      <c r="T60" s="136"/>
      <c r="U60" s="136"/>
      <c r="V60" s="136"/>
      <c r="W60" s="136"/>
      <c r="X60" s="136"/>
      <c r="Y60" s="136"/>
      <c r="Z60" s="136"/>
      <c r="AA60" s="216"/>
    </row>
    <row r="61" spans="1:27" ht="13.8" thickTop="1">
      <c r="B61" s="223" t="str">
        <f t="shared" si="8"/>
        <v>Humerus breadth</v>
      </c>
      <c r="C61" s="222"/>
      <c r="D61" s="223">
        <f t="shared" si="9"/>
        <v>0</v>
      </c>
      <c r="E61" s="223">
        <f t="shared" si="10"/>
        <v>0</v>
      </c>
      <c r="F61" s="223">
        <f t="shared" si="11"/>
        <v>1</v>
      </c>
      <c r="G61" s="223">
        <f t="shared" si="12"/>
        <v>0</v>
      </c>
      <c r="H61" s="222">
        <f t="shared" si="13"/>
        <v>1</v>
      </c>
      <c r="I61" s="224">
        <f t="shared" si="15"/>
        <v>0</v>
      </c>
      <c r="J61" s="224">
        <f t="shared" si="15"/>
        <v>1</v>
      </c>
      <c r="K61" s="224"/>
      <c r="L61" s="224"/>
      <c r="M61" s="224"/>
      <c r="N61" s="224"/>
      <c r="Q61" s="124"/>
      <c r="R61" s="124"/>
      <c r="S61" s="124"/>
      <c r="T61" s="124"/>
      <c r="U61" s="124"/>
      <c r="V61" s="124"/>
      <c r="W61" s="124"/>
      <c r="X61" s="124"/>
      <c r="Y61" s="124"/>
      <c r="Z61" s="124"/>
      <c r="AA61" s="124"/>
    </row>
    <row r="62" spans="1:27">
      <c r="B62" s="223" t="str">
        <f t="shared" si="8"/>
        <v>Bi-styloid breadth</v>
      </c>
      <c r="C62" s="222"/>
      <c r="D62" s="223">
        <f t="shared" si="9"/>
        <v>0</v>
      </c>
      <c r="E62" s="223">
        <f t="shared" si="10"/>
        <v>0</v>
      </c>
      <c r="F62" s="223">
        <f t="shared" si="11"/>
        <v>1</v>
      </c>
      <c r="G62" s="223">
        <f t="shared" si="12"/>
        <v>0</v>
      </c>
      <c r="H62" s="222">
        <f t="shared" si="13"/>
        <v>1</v>
      </c>
      <c r="I62" s="224">
        <f t="shared" si="15"/>
        <v>0</v>
      </c>
      <c r="J62" s="224">
        <f t="shared" si="15"/>
        <v>1</v>
      </c>
      <c r="K62" s="224"/>
      <c r="L62" s="224"/>
      <c r="M62" s="224"/>
      <c r="N62" s="224"/>
      <c r="Q62" s="124"/>
      <c r="R62" s="124"/>
      <c r="S62" s="124"/>
      <c r="T62" s="124"/>
      <c r="U62" s="124"/>
      <c r="V62" s="124"/>
      <c r="W62" s="124"/>
      <c r="X62" s="124"/>
      <c r="Y62" s="124"/>
      <c r="Z62" s="124"/>
      <c r="AA62" s="124"/>
    </row>
    <row r="63" spans="1:27">
      <c r="B63" s="223" t="str">
        <f>B36</f>
        <v>Femur breadth</v>
      </c>
      <c r="C63" s="222"/>
      <c r="D63" s="223">
        <f>IF(G36=H36,1,0)</f>
        <v>0</v>
      </c>
      <c r="E63" s="223">
        <f>IF(G36=I36,1,0)</f>
        <v>0</v>
      </c>
      <c r="F63" s="223">
        <f>IF(H36=I36,1,0)</f>
        <v>1</v>
      </c>
      <c r="G63" s="223">
        <f>IF(I36="",0,1)</f>
        <v>0</v>
      </c>
      <c r="H63" s="222">
        <f>IF(L36="Yes",1,0)</f>
        <v>1</v>
      </c>
      <c r="I63" s="224">
        <f>COUNTIF(G36,"")</f>
        <v>0</v>
      </c>
      <c r="J63" s="224">
        <f>COUNTIF(H36,"")</f>
        <v>1</v>
      </c>
      <c r="K63" s="224"/>
      <c r="L63" s="224"/>
      <c r="M63" s="224"/>
      <c r="N63" s="224"/>
      <c r="Q63" s="124"/>
      <c r="R63" s="124"/>
      <c r="S63" s="124"/>
      <c r="T63" s="124"/>
      <c r="U63" s="124"/>
      <c r="V63" s="124"/>
      <c r="W63" s="124"/>
      <c r="X63" s="124"/>
      <c r="Y63" s="124"/>
      <c r="Z63" s="124"/>
      <c r="AA63" s="124"/>
    </row>
    <row r="64" spans="1:27" s="242" customFormat="1">
      <c r="A64" s="104"/>
      <c r="B64" s="224"/>
      <c r="C64" s="222"/>
      <c r="D64" s="223">
        <f t="shared" ref="D64:J64" si="16">SUM(D40:D63)</f>
        <v>2</v>
      </c>
      <c r="E64" s="223">
        <f t="shared" si="16"/>
        <v>0</v>
      </c>
      <c r="F64" s="223">
        <f t="shared" si="16"/>
        <v>17</v>
      </c>
      <c r="G64" s="223">
        <f t="shared" si="16"/>
        <v>0</v>
      </c>
      <c r="H64" s="223">
        <f t="shared" si="16"/>
        <v>18</v>
      </c>
      <c r="I64" s="224">
        <f t="shared" si="16"/>
        <v>0</v>
      </c>
      <c r="J64" s="224">
        <f t="shared" si="16"/>
        <v>17</v>
      </c>
      <c r="K64" s="224"/>
      <c r="L64" s="224"/>
      <c r="M64" s="224"/>
      <c r="N64" s="224"/>
      <c r="O64" s="104"/>
      <c r="P64" s="104"/>
      <c r="Q64" s="104"/>
      <c r="R64" s="104"/>
      <c r="S64" s="104"/>
      <c r="T64" s="124"/>
      <c r="U64" s="124"/>
      <c r="V64" s="124"/>
    </row>
    <row r="65" spans="1:22" s="242" customFormat="1">
      <c r="B65" s="224"/>
      <c r="C65" s="224"/>
      <c r="D65" s="224"/>
      <c r="E65" s="224"/>
      <c r="F65" s="224"/>
      <c r="G65" s="224"/>
      <c r="H65" s="224"/>
      <c r="I65" s="224"/>
      <c r="J65" s="224"/>
      <c r="K65" s="224"/>
      <c r="L65" s="224"/>
      <c r="M65" s="224"/>
      <c r="N65" s="224"/>
      <c r="T65" s="124"/>
      <c r="U65" s="124"/>
      <c r="V65" s="124"/>
    </row>
    <row r="66" spans="1:22">
      <c r="A66" s="243"/>
      <c r="B66" s="224"/>
      <c r="C66" s="224"/>
      <c r="D66" s="224"/>
      <c r="E66" s="224"/>
      <c r="F66" s="224"/>
      <c r="G66" s="224"/>
      <c r="H66" s="224"/>
      <c r="I66" s="224"/>
      <c r="J66" s="224"/>
      <c r="K66" s="224"/>
      <c r="L66" s="224"/>
      <c r="M66" s="224"/>
      <c r="N66" s="224"/>
      <c r="T66" s="124"/>
      <c r="U66" s="124"/>
      <c r="V66" s="124"/>
    </row>
    <row r="67" spans="1:22" s="247" customFormat="1">
      <c r="A67" s="244"/>
      <c r="B67" s="269" t="str">
        <f>B13</f>
        <v>Mass</v>
      </c>
      <c r="C67" s="269"/>
      <c r="D67" s="269"/>
      <c r="E67" s="269"/>
      <c r="F67" s="269"/>
      <c r="G67" s="245">
        <f t="shared" ref="G67:I79" si="17">+G13</f>
        <v>52.9</v>
      </c>
      <c r="H67" s="245">
        <f t="shared" si="17"/>
        <v>0</v>
      </c>
      <c r="I67" s="245">
        <f t="shared" si="17"/>
        <v>0</v>
      </c>
      <c r="J67" s="224">
        <f>ABS(G67-H67)</f>
        <v>52.9</v>
      </c>
      <c r="K67" s="224">
        <f>ABS(I67-G67)</f>
        <v>52.9</v>
      </c>
      <c r="L67" s="224">
        <f>ABS(H67-I67)</f>
        <v>0</v>
      </c>
      <c r="M67" s="246">
        <f>IF(J67=MIN(J67:L67),G67,IF(K67=MIN(J67:L67),G67,H67))</f>
        <v>0</v>
      </c>
      <c r="N67" s="246">
        <f>IF(J67=MIN(J67:L67),H67,IF(K67=MIN(J67:L67),I67,I67))</f>
        <v>0</v>
      </c>
      <c r="R67" s="248" t="str">
        <f>B67</f>
        <v>Mass</v>
      </c>
    </row>
    <row r="68" spans="1:22" s="247" customFormat="1">
      <c r="B68" s="269" t="str">
        <f t="shared" ref="B68:B79" si="18">B14</f>
        <v>Stature</v>
      </c>
      <c r="C68" s="269"/>
      <c r="D68" s="269"/>
      <c r="E68" s="269"/>
      <c r="F68" s="269"/>
      <c r="G68" s="245">
        <f t="shared" si="17"/>
        <v>156</v>
      </c>
      <c r="H68" s="245">
        <f t="shared" si="17"/>
        <v>0</v>
      </c>
      <c r="I68" s="245">
        <f t="shared" si="17"/>
        <v>0</v>
      </c>
      <c r="J68" s="224">
        <f t="shared" ref="J68:J87" si="19">ABS(G68-H68)</f>
        <v>156</v>
      </c>
      <c r="K68" s="224">
        <f t="shared" ref="K68:K87" si="20">ABS(I68-G68)</f>
        <v>156</v>
      </c>
      <c r="L68" s="224">
        <f t="shared" ref="L68:L87" si="21">ABS(H68-I68)</f>
        <v>0</v>
      </c>
      <c r="M68" s="246">
        <f t="shared" ref="M68:M87" si="22">IF(J68=MIN(J68:L68),G68,IF(K68=MIN(J68:L68),G68,H68))</f>
        <v>0</v>
      </c>
      <c r="N68" s="246">
        <f t="shared" ref="N68:N87" si="23">IF(J68=MIN(J68:L68),H68,IF(K68=MIN(J68:L68),I68,I68))</f>
        <v>0</v>
      </c>
      <c r="R68" s="248" t="str">
        <f t="shared" ref="R68:R87" si="24">B68</f>
        <v>Stature</v>
      </c>
    </row>
    <row r="69" spans="1:22" s="247" customFormat="1">
      <c r="B69" s="269" t="str">
        <f t="shared" si="18"/>
        <v>Sitting height</v>
      </c>
      <c r="C69" s="269"/>
      <c r="D69" s="269"/>
      <c r="E69" s="269"/>
      <c r="F69" s="269"/>
      <c r="G69" s="245">
        <f t="shared" si="17"/>
        <v>74.5</v>
      </c>
      <c r="H69" s="245">
        <f t="shared" si="17"/>
        <v>0</v>
      </c>
      <c r="I69" s="245">
        <f t="shared" si="17"/>
        <v>0</v>
      </c>
      <c r="J69" s="224">
        <f t="shared" si="19"/>
        <v>74.5</v>
      </c>
      <c r="K69" s="224">
        <f t="shared" si="20"/>
        <v>74.5</v>
      </c>
      <c r="L69" s="224">
        <f t="shared" si="21"/>
        <v>0</v>
      </c>
      <c r="M69" s="246">
        <f t="shared" si="22"/>
        <v>0</v>
      </c>
      <c r="N69" s="246">
        <f t="shared" si="23"/>
        <v>0</v>
      </c>
      <c r="R69" s="248" t="str">
        <f t="shared" si="24"/>
        <v>Sitting height</v>
      </c>
    </row>
    <row r="70" spans="1:22" s="247" customFormat="1">
      <c r="B70" s="269" t="str">
        <f t="shared" si="18"/>
        <v>Arm Span</v>
      </c>
      <c r="C70" s="269"/>
      <c r="D70" s="269"/>
      <c r="E70" s="269"/>
      <c r="F70" s="269"/>
      <c r="G70" s="245">
        <f t="shared" si="17"/>
        <v>153</v>
      </c>
      <c r="H70" s="245">
        <f t="shared" si="17"/>
        <v>0</v>
      </c>
      <c r="I70" s="245">
        <f t="shared" si="17"/>
        <v>0</v>
      </c>
      <c r="J70" s="224">
        <f t="shared" si="19"/>
        <v>153</v>
      </c>
      <c r="K70" s="224">
        <f t="shared" si="20"/>
        <v>153</v>
      </c>
      <c r="L70" s="224">
        <f t="shared" si="21"/>
        <v>0</v>
      </c>
      <c r="M70" s="246">
        <f t="shared" si="22"/>
        <v>0</v>
      </c>
      <c r="N70" s="246">
        <f t="shared" si="23"/>
        <v>0</v>
      </c>
      <c r="R70" s="248" t="str">
        <f t="shared" si="24"/>
        <v>Arm Span</v>
      </c>
    </row>
    <row r="71" spans="1:22" s="247" customFormat="1">
      <c r="B71" s="269" t="str">
        <f t="shared" si="18"/>
        <v>Triceps sf</v>
      </c>
      <c r="C71" s="269"/>
      <c r="D71" s="269"/>
      <c r="E71" s="269"/>
      <c r="F71" s="269"/>
      <c r="G71" s="245">
        <f t="shared" si="17"/>
        <v>24</v>
      </c>
      <c r="H71" s="245">
        <f t="shared" si="17"/>
        <v>0</v>
      </c>
      <c r="I71" s="245">
        <f t="shared" si="17"/>
        <v>0</v>
      </c>
      <c r="J71" s="224">
        <f t="shared" si="19"/>
        <v>24</v>
      </c>
      <c r="K71" s="224">
        <f t="shared" si="20"/>
        <v>24</v>
      </c>
      <c r="L71" s="224">
        <f t="shared" si="21"/>
        <v>0</v>
      </c>
      <c r="M71" s="246">
        <f t="shared" si="22"/>
        <v>0</v>
      </c>
      <c r="N71" s="246">
        <f t="shared" si="23"/>
        <v>0</v>
      </c>
      <c r="R71" s="248" t="str">
        <f t="shared" si="24"/>
        <v>Triceps sf</v>
      </c>
    </row>
    <row r="72" spans="1:22" s="247" customFormat="1">
      <c r="B72" s="269" t="str">
        <f t="shared" si="18"/>
        <v>Subscapular sf</v>
      </c>
      <c r="C72" s="269"/>
      <c r="D72" s="269"/>
      <c r="E72" s="269"/>
      <c r="F72" s="269"/>
      <c r="G72" s="245">
        <f t="shared" si="17"/>
        <v>9</v>
      </c>
      <c r="H72" s="245">
        <f t="shared" si="17"/>
        <v>0</v>
      </c>
      <c r="I72" s="245">
        <f t="shared" si="17"/>
        <v>0</v>
      </c>
      <c r="J72" s="224">
        <f t="shared" si="19"/>
        <v>9</v>
      </c>
      <c r="K72" s="224">
        <f t="shared" si="20"/>
        <v>9</v>
      </c>
      <c r="L72" s="224">
        <f t="shared" si="21"/>
        <v>0</v>
      </c>
      <c r="M72" s="246">
        <f t="shared" si="22"/>
        <v>0</v>
      </c>
      <c r="N72" s="246">
        <f t="shared" si="23"/>
        <v>0</v>
      </c>
      <c r="R72" s="248" t="str">
        <f t="shared" si="24"/>
        <v>Subscapular sf</v>
      </c>
    </row>
    <row r="73" spans="1:22" s="247" customFormat="1">
      <c r="B73" s="269" t="str">
        <f t="shared" si="18"/>
        <v>Biceps sf</v>
      </c>
      <c r="C73" s="269"/>
      <c r="D73" s="269"/>
      <c r="E73" s="269"/>
      <c r="F73" s="269"/>
      <c r="G73" s="245">
        <f t="shared" si="17"/>
        <v>7</v>
      </c>
      <c r="H73" s="245">
        <f t="shared" si="17"/>
        <v>0</v>
      </c>
      <c r="I73" s="245">
        <f t="shared" si="17"/>
        <v>0</v>
      </c>
      <c r="J73" s="224">
        <f t="shared" si="19"/>
        <v>7</v>
      </c>
      <c r="K73" s="224">
        <f t="shared" si="20"/>
        <v>7</v>
      </c>
      <c r="L73" s="224">
        <f t="shared" si="21"/>
        <v>0</v>
      </c>
      <c r="M73" s="246">
        <f t="shared" si="22"/>
        <v>0</v>
      </c>
      <c r="N73" s="246">
        <f t="shared" si="23"/>
        <v>0</v>
      </c>
      <c r="R73" s="248" t="str">
        <f t="shared" si="24"/>
        <v>Biceps sf</v>
      </c>
    </row>
    <row r="74" spans="1:22" s="247" customFormat="1">
      <c r="B74" s="269" t="str">
        <f t="shared" si="18"/>
        <v>Iliac crest sf</v>
      </c>
      <c r="C74" s="269"/>
      <c r="D74" s="269"/>
      <c r="E74" s="269"/>
      <c r="F74" s="269"/>
      <c r="G74" s="245">
        <f t="shared" si="17"/>
        <v>27</v>
      </c>
      <c r="H74" s="245">
        <f t="shared" si="17"/>
        <v>26</v>
      </c>
      <c r="I74" s="245">
        <f t="shared" si="17"/>
        <v>0</v>
      </c>
      <c r="J74" s="224">
        <f t="shared" si="19"/>
        <v>1</v>
      </c>
      <c r="K74" s="224">
        <f t="shared" si="20"/>
        <v>27</v>
      </c>
      <c r="L74" s="224">
        <f t="shared" si="21"/>
        <v>26</v>
      </c>
      <c r="M74" s="246">
        <f t="shared" si="22"/>
        <v>27</v>
      </c>
      <c r="N74" s="246">
        <f t="shared" si="23"/>
        <v>26</v>
      </c>
      <c r="R74" s="248" t="str">
        <f t="shared" si="24"/>
        <v>Iliac crest sf</v>
      </c>
    </row>
    <row r="75" spans="1:22" s="247" customFormat="1">
      <c r="B75" s="269" t="str">
        <f t="shared" si="18"/>
        <v>Supraspinale sf</v>
      </c>
      <c r="C75" s="269"/>
      <c r="D75" s="269"/>
      <c r="E75" s="269"/>
      <c r="F75" s="269"/>
      <c r="G75" s="245">
        <f t="shared" si="17"/>
        <v>9.5</v>
      </c>
      <c r="H75" s="245">
        <f t="shared" si="17"/>
        <v>9.5</v>
      </c>
      <c r="I75" s="245">
        <f t="shared" si="17"/>
        <v>0</v>
      </c>
      <c r="J75" s="224">
        <f t="shared" si="19"/>
        <v>0</v>
      </c>
      <c r="K75" s="224">
        <f t="shared" si="20"/>
        <v>9.5</v>
      </c>
      <c r="L75" s="224">
        <f t="shared" si="21"/>
        <v>9.5</v>
      </c>
      <c r="M75" s="246">
        <f t="shared" si="22"/>
        <v>9.5</v>
      </c>
      <c r="N75" s="246">
        <f t="shared" si="23"/>
        <v>9.5</v>
      </c>
      <c r="R75" s="248" t="str">
        <f t="shared" si="24"/>
        <v>Supraspinale sf</v>
      </c>
    </row>
    <row r="76" spans="1:22" s="247" customFormat="1">
      <c r="B76" s="269" t="str">
        <f t="shared" si="18"/>
        <v>Abdominal sf</v>
      </c>
      <c r="C76" s="269"/>
      <c r="D76" s="269"/>
      <c r="E76" s="269"/>
      <c r="F76" s="269"/>
      <c r="G76" s="245">
        <f t="shared" si="17"/>
        <v>19</v>
      </c>
      <c r="H76" s="245">
        <f t="shared" si="17"/>
        <v>0</v>
      </c>
      <c r="I76" s="245">
        <f t="shared" si="17"/>
        <v>0</v>
      </c>
      <c r="J76" s="224">
        <f t="shared" si="19"/>
        <v>19</v>
      </c>
      <c r="K76" s="224">
        <f t="shared" si="20"/>
        <v>19</v>
      </c>
      <c r="L76" s="224">
        <f t="shared" si="21"/>
        <v>0</v>
      </c>
      <c r="M76" s="246">
        <f t="shared" si="22"/>
        <v>0</v>
      </c>
      <c r="N76" s="246">
        <f t="shared" si="23"/>
        <v>0</v>
      </c>
      <c r="R76" s="248" t="str">
        <f t="shared" si="24"/>
        <v>Abdominal sf</v>
      </c>
    </row>
    <row r="77" spans="1:22" s="247" customFormat="1">
      <c r="A77" s="244"/>
      <c r="B77" s="269" t="str">
        <f t="shared" si="18"/>
        <v>Thigh sf</v>
      </c>
      <c r="C77" s="269"/>
      <c r="D77" s="269"/>
      <c r="E77" s="269"/>
      <c r="F77" s="269"/>
      <c r="G77" s="245">
        <f t="shared" si="17"/>
        <v>30</v>
      </c>
      <c r="H77" s="245">
        <f t="shared" si="17"/>
        <v>0</v>
      </c>
      <c r="I77" s="245">
        <f t="shared" si="17"/>
        <v>0</v>
      </c>
      <c r="J77" s="224">
        <f t="shared" si="19"/>
        <v>30</v>
      </c>
      <c r="K77" s="224">
        <f t="shared" si="20"/>
        <v>30</v>
      </c>
      <c r="L77" s="224">
        <f t="shared" si="21"/>
        <v>0</v>
      </c>
      <c r="M77" s="246">
        <f t="shared" si="22"/>
        <v>0</v>
      </c>
      <c r="N77" s="246">
        <f t="shared" si="23"/>
        <v>0</v>
      </c>
      <c r="R77" s="248" t="str">
        <f t="shared" si="24"/>
        <v>Thigh sf</v>
      </c>
    </row>
    <row r="78" spans="1:22" s="247" customFormat="1">
      <c r="B78" s="269" t="str">
        <f t="shared" si="18"/>
        <v>Calf sf</v>
      </c>
      <c r="C78" s="269"/>
      <c r="D78" s="269"/>
      <c r="E78" s="269"/>
      <c r="F78" s="269"/>
      <c r="G78" s="245">
        <f t="shared" si="17"/>
        <v>20</v>
      </c>
      <c r="H78" s="245">
        <f t="shared" si="17"/>
        <v>0</v>
      </c>
      <c r="I78" s="245">
        <f t="shared" si="17"/>
        <v>0</v>
      </c>
      <c r="J78" s="224">
        <f t="shared" si="19"/>
        <v>20</v>
      </c>
      <c r="K78" s="224">
        <f t="shared" si="20"/>
        <v>20</v>
      </c>
      <c r="L78" s="224">
        <f t="shared" si="21"/>
        <v>0</v>
      </c>
      <c r="M78" s="246">
        <f t="shared" si="22"/>
        <v>0</v>
      </c>
      <c r="N78" s="246">
        <f t="shared" si="23"/>
        <v>0</v>
      </c>
      <c r="R78" s="248" t="str">
        <f t="shared" si="24"/>
        <v>Calf sf</v>
      </c>
    </row>
    <row r="79" spans="1:22" s="247" customFormat="1">
      <c r="B79" s="269" t="str">
        <f t="shared" si="18"/>
        <v>Arm girth relaxed</v>
      </c>
      <c r="C79" s="269"/>
      <c r="D79" s="269"/>
      <c r="E79" s="269"/>
      <c r="F79" s="269"/>
      <c r="G79" s="245">
        <f t="shared" si="17"/>
        <v>27.5</v>
      </c>
      <c r="H79" s="245">
        <f t="shared" si="17"/>
        <v>0</v>
      </c>
      <c r="I79" s="245">
        <f t="shared" si="17"/>
        <v>0</v>
      </c>
      <c r="J79" s="224">
        <f t="shared" si="19"/>
        <v>27.5</v>
      </c>
      <c r="K79" s="224">
        <f t="shared" si="20"/>
        <v>27.5</v>
      </c>
      <c r="L79" s="224">
        <f t="shared" si="21"/>
        <v>0</v>
      </c>
      <c r="M79" s="246">
        <f t="shared" si="22"/>
        <v>0</v>
      </c>
      <c r="N79" s="246">
        <f t="shared" si="23"/>
        <v>0</v>
      </c>
      <c r="R79" s="248" t="str">
        <f t="shared" si="24"/>
        <v>Arm girth relaxed</v>
      </c>
    </row>
    <row r="80" spans="1:22" s="247" customFormat="1">
      <c r="B80" s="269" t="str">
        <f>B27</f>
        <v>Arm girth flexed and tensed</v>
      </c>
      <c r="C80" s="269"/>
      <c r="D80" s="269"/>
      <c r="E80" s="269"/>
      <c r="F80" s="269"/>
      <c r="G80" s="245">
        <f t="shared" ref="G80:I83" si="25">+G27</f>
        <v>28.5</v>
      </c>
      <c r="H80" s="245">
        <f t="shared" si="25"/>
        <v>0</v>
      </c>
      <c r="I80" s="245">
        <f t="shared" si="25"/>
        <v>0</v>
      </c>
      <c r="J80" s="224">
        <f t="shared" si="19"/>
        <v>28.5</v>
      </c>
      <c r="K80" s="224">
        <f t="shared" si="20"/>
        <v>28.5</v>
      </c>
      <c r="L80" s="224">
        <f t="shared" si="21"/>
        <v>0</v>
      </c>
      <c r="M80" s="246">
        <f t="shared" si="22"/>
        <v>0</v>
      </c>
      <c r="N80" s="246">
        <f t="shared" si="23"/>
        <v>0</v>
      </c>
      <c r="R80" s="248" t="str">
        <f t="shared" si="24"/>
        <v>Arm girth flexed and tensed</v>
      </c>
    </row>
    <row r="81" spans="1:18" s="247" customFormat="1">
      <c r="B81" s="269" t="str">
        <f>B28</f>
        <v>Waist girth</v>
      </c>
      <c r="C81" s="269"/>
      <c r="D81" s="269"/>
      <c r="E81" s="269"/>
      <c r="F81" s="269"/>
      <c r="G81" s="245">
        <f t="shared" si="25"/>
        <v>66</v>
      </c>
      <c r="H81" s="245">
        <f t="shared" si="25"/>
        <v>66</v>
      </c>
      <c r="I81" s="245">
        <f t="shared" si="25"/>
        <v>0</v>
      </c>
      <c r="J81" s="224">
        <f t="shared" si="19"/>
        <v>0</v>
      </c>
      <c r="K81" s="224">
        <f t="shared" si="20"/>
        <v>66</v>
      </c>
      <c r="L81" s="224">
        <f t="shared" si="21"/>
        <v>66</v>
      </c>
      <c r="M81" s="246">
        <f t="shared" si="22"/>
        <v>66</v>
      </c>
      <c r="N81" s="246">
        <f t="shared" si="23"/>
        <v>66</v>
      </c>
      <c r="R81" s="248" t="str">
        <f t="shared" si="24"/>
        <v>Waist girth</v>
      </c>
    </row>
    <row r="82" spans="1:18" s="247" customFormat="1">
      <c r="B82" s="269" t="str">
        <f>B29</f>
        <v>Hips girth</v>
      </c>
      <c r="C82" s="269"/>
      <c r="D82" s="269"/>
      <c r="E82" s="269"/>
      <c r="F82" s="269"/>
      <c r="G82" s="245">
        <f t="shared" si="25"/>
        <v>90.5</v>
      </c>
      <c r="H82" s="245">
        <f t="shared" si="25"/>
        <v>92</v>
      </c>
      <c r="I82" s="245">
        <f t="shared" si="25"/>
        <v>0</v>
      </c>
      <c r="J82" s="224">
        <f t="shared" si="19"/>
        <v>1.5</v>
      </c>
      <c r="K82" s="224">
        <f t="shared" si="20"/>
        <v>90.5</v>
      </c>
      <c r="L82" s="224">
        <f t="shared" si="21"/>
        <v>92</v>
      </c>
      <c r="M82" s="246">
        <f t="shared" si="22"/>
        <v>90.5</v>
      </c>
      <c r="N82" s="246">
        <f t="shared" si="23"/>
        <v>92</v>
      </c>
      <c r="R82" s="248" t="str">
        <f t="shared" si="24"/>
        <v>Hips girth</v>
      </c>
    </row>
    <row r="83" spans="1:18">
      <c r="A83" s="247"/>
      <c r="B83" s="269" t="str">
        <f>B30</f>
        <v>Thigh middle girth</v>
      </c>
      <c r="C83" s="269"/>
      <c r="D83" s="269"/>
      <c r="E83" s="269"/>
      <c r="F83" s="269"/>
      <c r="G83" s="245">
        <f t="shared" si="25"/>
        <v>51</v>
      </c>
      <c r="H83" s="245">
        <f t="shared" si="25"/>
        <v>0</v>
      </c>
      <c r="I83" s="245">
        <f t="shared" si="25"/>
        <v>0</v>
      </c>
      <c r="J83" s="224">
        <f t="shared" si="19"/>
        <v>51</v>
      </c>
      <c r="K83" s="224">
        <f t="shared" si="20"/>
        <v>51</v>
      </c>
      <c r="L83" s="224">
        <f t="shared" si="21"/>
        <v>0</v>
      </c>
      <c r="M83" s="246">
        <f t="shared" si="22"/>
        <v>0</v>
      </c>
      <c r="N83" s="246">
        <f t="shared" si="23"/>
        <v>0</v>
      </c>
      <c r="R83" s="248" t="str">
        <f t="shared" si="24"/>
        <v>Thigh middle girth</v>
      </c>
    </row>
    <row r="84" spans="1:18">
      <c r="B84" s="269" t="str">
        <f>B32</f>
        <v>Calf girth</v>
      </c>
      <c r="C84" s="269"/>
      <c r="D84" s="269"/>
      <c r="E84" s="269"/>
      <c r="F84" s="269"/>
      <c r="G84" s="245">
        <f>+G32</f>
        <v>33</v>
      </c>
      <c r="H84" s="245">
        <f>+H32</f>
        <v>0</v>
      </c>
      <c r="I84" s="245">
        <f>+I32</f>
        <v>0</v>
      </c>
      <c r="J84" s="224">
        <f t="shared" si="19"/>
        <v>33</v>
      </c>
      <c r="K84" s="224">
        <f t="shared" si="20"/>
        <v>33</v>
      </c>
      <c r="L84" s="224">
        <f t="shared" si="21"/>
        <v>0</v>
      </c>
      <c r="M84" s="246">
        <f t="shared" si="22"/>
        <v>0</v>
      </c>
      <c r="N84" s="246">
        <f t="shared" si="23"/>
        <v>0</v>
      </c>
      <c r="R84" s="248" t="str">
        <f t="shared" si="24"/>
        <v>Calf girth</v>
      </c>
    </row>
    <row r="85" spans="1:18">
      <c r="B85" s="269" t="str">
        <f>B34</f>
        <v>Humerus breadth</v>
      </c>
      <c r="C85" s="269"/>
      <c r="D85" s="269"/>
      <c r="E85" s="269"/>
      <c r="F85" s="269"/>
      <c r="G85" s="245">
        <f t="shared" ref="G85:I87" si="26">+G34</f>
        <v>5.6</v>
      </c>
      <c r="H85" s="245">
        <f t="shared" si="26"/>
        <v>0</v>
      </c>
      <c r="I85" s="245">
        <f t="shared" si="26"/>
        <v>0</v>
      </c>
      <c r="J85" s="224">
        <f t="shared" si="19"/>
        <v>5.6</v>
      </c>
      <c r="K85" s="224">
        <f t="shared" si="20"/>
        <v>5.6</v>
      </c>
      <c r="L85" s="224">
        <f t="shared" si="21"/>
        <v>0</v>
      </c>
      <c r="M85" s="246">
        <f t="shared" si="22"/>
        <v>0</v>
      </c>
      <c r="N85" s="246">
        <f t="shared" si="23"/>
        <v>0</v>
      </c>
      <c r="R85" s="248" t="str">
        <f t="shared" si="24"/>
        <v>Humerus breadth</v>
      </c>
    </row>
    <row r="86" spans="1:18">
      <c r="B86" s="269" t="str">
        <f>B35</f>
        <v>Bi-styloid breadth</v>
      </c>
      <c r="C86" s="269"/>
      <c r="D86" s="269"/>
      <c r="E86" s="269"/>
      <c r="F86" s="269"/>
      <c r="G86" s="245">
        <f t="shared" si="26"/>
        <v>4.5</v>
      </c>
      <c r="H86" s="245">
        <f t="shared" si="26"/>
        <v>0</v>
      </c>
      <c r="I86" s="245">
        <f t="shared" si="26"/>
        <v>0</v>
      </c>
      <c r="J86" s="224">
        <f t="shared" si="19"/>
        <v>4.5</v>
      </c>
      <c r="K86" s="224">
        <f t="shared" si="20"/>
        <v>4.5</v>
      </c>
      <c r="L86" s="224">
        <f t="shared" si="21"/>
        <v>0</v>
      </c>
      <c r="M86" s="246">
        <f t="shared" si="22"/>
        <v>0</v>
      </c>
      <c r="N86" s="246">
        <f t="shared" si="23"/>
        <v>0</v>
      </c>
      <c r="R86" s="248" t="str">
        <f t="shared" si="24"/>
        <v>Bi-styloid breadth</v>
      </c>
    </row>
    <row r="87" spans="1:18">
      <c r="B87" s="269" t="str">
        <f>B36</f>
        <v>Femur breadth</v>
      </c>
      <c r="C87" s="269"/>
      <c r="D87" s="269"/>
      <c r="E87" s="269"/>
      <c r="F87" s="269"/>
      <c r="G87" s="245">
        <f t="shared" si="26"/>
        <v>9</v>
      </c>
      <c r="H87" s="245">
        <f t="shared" si="26"/>
        <v>0</v>
      </c>
      <c r="I87" s="245">
        <f t="shared" si="26"/>
        <v>0</v>
      </c>
      <c r="J87" s="224">
        <f t="shared" si="19"/>
        <v>9</v>
      </c>
      <c r="K87" s="224">
        <f t="shared" si="20"/>
        <v>9</v>
      </c>
      <c r="L87" s="224">
        <f t="shared" si="21"/>
        <v>0</v>
      </c>
      <c r="M87" s="246">
        <f t="shared" si="22"/>
        <v>0</v>
      </c>
      <c r="N87" s="246">
        <f t="shared" si="23"/>
        <v>0</v>
      </c>
      <c r="R87" s="248" t="str">
        <f t="shared" si="24"/>
        <v>Femur breadth</v>
      </c>
    </row>
    <row r="88" spans="1:18">
      <c r="M88" s="103"/>
      <c r="N88" s="103"/>
    </row>
    <row r="89" spans="1:18">
      <c r="M89" s="103"/>
      <c r="N89" s="103"/>
    </row>
    <row r="90" spans="1:18">
      <c r="M90" s="103"/>
      <c r="N90" s="103"/>
    </row>
    <row r="91" spans="1:18">
      <c r="M91" s="103"/>
      <c r="N91" s="103"/>
    </row>
  </sheetData>
  <sheetProtection algorithmName="SHA-512" hashValue="3i44NbpV/X0vhO2Lx2knthffYBgq8n0+pcGlgJcl7QZOWw4b7yk4hzFSZu8vUi4/+m1Twj39aYXpXxrPZ/0YFA==" saltValue="bYu7t7M+oy0MFRB7348i9Q==" spinCount="100000" sheet="1" selectLockedCells="1"/>
  <mergeCells count="23">
    <mergeCell ref="B77:F77"/>
    <mergeCell ref="B78:F78"/>
    <mergeCell ref="B84:F84"/>
    <mergeCell ref="B85:F85"/>
    <mergeCell ref="B86:F86"/>
    <mergeCell ref="B87:F87"/>
    <mergeCell ref="B79:F79"/>
    <mergeCell ref="B80:F80"/>
    <mergeCell ref="B81:F81"/>
    <mergeCell ref="B82:F82"/>
    <mergeCell ref="B83:F83"/>
    <mergeCell ref="B76:F76"/>
    <mergeCell ref="K11:L12"/>
    <mergeCell ref="N11:N12"/>
    <mergeCell ref="B67:F67"/>
    <mergeCell ref="B68:F68"/>
    <mergeCell ref="B69:F69"/>
    <mergeCell ref="B70:F70"/>
    <mergeCell ref="B71:F71"/>
    <mergeCell ref="B72:F72"/>
    <mergeCell ref="B73:F73"/>
    <mergeCell ref="B74:F74"/>
    <mergeCell ref="B75:F75"/>
  </mergeCells>
  <phoneticPr fontId="9" type="noConversion"/>
  <pageMargins left="0.74803149606299213" right="0.74803149606299213" top="0.98425196850393704" bottom="0.98425196850393704" header="0.51181102362204722" footer="0.51181102362204722"/>
  <pageSetup paperSize="9" scale="67" orientation="portrait"/>
  <headerFooter alignWithMargins="0"/>
  <colBreaks count="1" manualBreakCount="1">
    <brk id="15" max="5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
  <dimension ref="B3:AQ30"/>
  <sheetViews>
    <sheetView workbookViewId="0">
      <selection activeCell="B4" sqref="B4"/>
    </sheetView>
  </sheetViews>
  <sheetFormatPr baseColWidth="10" defaultColWidth="9.109375" defaultRowHeight="13.2"/>
  <cols>
    <col min="1" max="1" width="2.44140625" style="2" customWidth="1"/>
    <col min="2" max="2" width="4.33203125" style="2" customWidth="1"/>
    <col min="3" max="3" width="27.44140625" style="2" bestFit="1" customWidth="1"/>
    <col min="4" max="43" width="9.109375" style="3" customWidth="1"/>
    <col min="44" max="16384" width="9.109375" style="2"/>
  </cols>
  <sheetData>
    <row r="3" spans="2:43" ht="13.8" thickBot="1"/>
    <row r="4" spans="2:43" ht="15" thickTop="1" thickBot="1">
      <c r="B4" s="54" t="str">
        <f>IF(Info!D34=1,"ANTHROPOMETRIC DATA","DATOS ANTROPOMÉTRICOS")</f>
        <v>ANTHROPOMETRIC DATA</v>
      </c>
      <c r="C4" s="9"/>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row>
    <row r="5" spans="2:43" ht="13.8" thickTop="1"/>
    <row r="6" spans="2:43" ht="13.8" thickBot="1"/>
    <row r="7" spans="2:43" s="6" customFormat="1" ht="13.8" thickTop="1">
      <c r="B7" s="5"/>
      <c r="C7" s="55" t="str">
        <f>IF(Info!D34=1,"Sites for restricted profile", "Sitios para perfil restringido")</f>
        <v>Sites for restricted profile</v>
      </c>
      <c r="D7" s="278" t="s">
        <v>0</v>
      </c>
      <c r="E7" s="277"/>
      <c r="F7" s="276" t="s">
        <v>1</v>
      </c>
      <c r="G7" s="277"/>
      <c r="H7" s="276" t="s">
        <v>2</v>
      </c>
      <c r="I7" s="277"/>
      <c r="J7" s="276" t="s">
        <v>3</v>
      </c>
      <c r="K7" s="277"/>
      <c r="L7" s="276" t="s">
        <v>4</v>
      </c>
      <c r="M7" s="277"/>
      <c r="N7" s="276" t="s">
        <v>5</v>
      </c>
      <c r="O7" s="277"/>
      <c r="P7" s="276" t="s">
        <v>6</v>
      </c>
      <c r="Q7" s="277"/>
      <c r="R7" s="276" t="s">
        <v>7</v>
      </c>
      <c r="S7" s="277"/>
      <c r="T7" s="276" t="s">
        <v>8</v>
      </c>
      <c r="U7" s="277"/>
      <c r="V7" s="276" t="s">
        <v>9</v>
      </c>
      <c r="W7" s="277"/>
      <c r="X7" s="276" t="s">
        <v>10</v>
      </c>
      <c r="Y7" s="277"/>
      <c r="Z7" s="276" t="s">
        <v>11</v>
      </c>
      <c r="AA7" s="277"/>
      <c r="AB7" s="276" t="s">
        <v>12</v>
      </c>
      <c r="AC7" s="277"/>
      <c r="AD7" s="276" t="s">
        <v>13</v>
      </c>
      <c r="AE7" s="277"/>
      <c r="AF7" s="276" t="s">
        <v>14</v>
      </c>
      <c r="AG7" s="277"/>
      <c r="AH7" s="276" t="s">
        <v>15</v>
      </c>
      <c r="AI7" s="277"/>
      <c r="AJ7" s="276" t="s">
        <v>16</v>
      </c>
      <c r="AK7" s="277"/>
      <c r="AL7" s="276" t="s">
        <v>17</v>
      </c>
      <c r="AM7" s="277"/>
      <c r="AN7" s="276" t="s">
        <v>18</v>
      </c>
      <c r="AO7" s="277"/>
      <c r="AP7" s="276" t="s">
        <v>19</v>
      </c>
      <c r="AQ7" s="277"/>
    </row>
    <row r="8" spans="2:43" s="7" customFormat="1" ht="13.8" thickBot="1">
      <c r="D8" s="56" t="str">
        <f>IF(Info!$D$34=1,"measure 1","medida 1")</f>
        <v>measure 1</v>
      </c>
      <c r="E8" s="56" t="str">
        <f>IF(Info!$D$34=1,"measure 2","medida 2")</f>
        <v>measure 2</v>
      </c>
      <c r="F8" s="56" t="str">
        <f>IF(Info!$D$34=1,"measure 1","medida 1")</f>
        <v>measure 1</v>
      </c>
      <c r="G8" s="56" t="str">
        <f>IF(Info!$D$34=1,"measure 2","medida 2")</f>
        <v>measure 2</v>
      </c>
      <c r="H8" s="56" t="str">
        <f>IF(Info!$D$34=1,"measure 1","medida 1")</f>
        <v>measure 1</v>
      </c>
      <c r="I8" s="56" t="str">
        <f>IF(Info!$D$34=1,"measure 2","medida 2")</f>
        <v>measure 2</v>
      </c>
      <c r="J8" s="56" t="str">
        <f>IF(Info!$D$34=1,"measure 1","medida 1")</f>
        <v>measure 1</v>
      </c>
      <c r="K8" s="56" t="str">
        <f>IF(Info!$D$34=1,"measure 2","medida 2")</f>
        <v>measure 2</v>
      </c>
      <c r="L8" s="56" t="str">
        <f>IF(Info!$D$34=1,"measure 1","medida 1")</f>
        <v>measure 1</v>
      </c>
      <c r="M8" s="56" t="str">
        <f>IF(Info!$D$34=1,"measure 2","medida 2")</f>
        <v>measure 2</v>
      </c>
      <c r="N8" s="56" t="str">
        <f>IF(Info!$D$34=1,"measure 1","medida 1")</f>
        <v>measure 1</v>
      </c>
      <c r="O8" s="56" t="str">
        <f>IF(Info!$D$34=1,"measure 2","medida 2")</f>
        <v>measure 2</v>
      </c>
      <c r="P8" s="56" t="str">
        <f>IF(Info!$D$34=1,"measure 1","medida 1")</f>
        <v>measure 1</v>
      </c>
      <c r="Q8" s="56" t="str">
        <f>IF(Info!$D$34=1,"measure 2","medida 2")</f>
        <v>measure 2</v>
      </c>
      <c r="R8" s="56" t="str">
        <f>IF(Info!$D$34=1,"measure 1","medida 1")</f>
        <v>measure 1</v>
      </c>
      <c r="S8" s="56" t="str">
        <f>IF(Info!$D$34=1,"measure 2","medida 2")</f>
        <v>measure 2</v>
      </c>
      <c r="T8" s="56" t="str">
        <f>IF(Info!$D$34=1,"measure 1","medida 1")</f>
        <v>measure 1</v>
      </c>
      <c r="U8" s="56" t="str">
        <f>IF(Info!$D$34=1,"measure 2","medida 2")</f>
        <v>measure 2</v>
      </c>
      <c r="V8" s="56" t="str">
        <f>IF(Info!$D$34=1,"measure 1","medida 1")</f>
        <v>measure 1</v>
      </c>
      <c r="W8" s="56" t="str">
        <f>IF(Info!$D$34=1,"measure 2","medida 2")</f>
        <v>measure 2</v>
      </c>
      <c r="X8" s="56" t="str">
        <f>IF(Info!$D$34=1,"measure 1","medida 1")</f>
        <v>measure 1</v>
      </c>
      <c r="Y8" s="56" t="str">
        <f>IF(Info!$D$34=1,"measure 2","medida 2")</f>
        <v>measure 2</v>
      </c>
      <c r="Z8" s="56" t="str">
        <f>IF(Info!$D$34=1,"measure 1","medida 1")</f>
        <v>measure 1</v>
      </c>
      <c r="AA8" s="56" t="str">
        <f>IF(Info!$D$34=1,"measure 2","medida 2")</f>
        <v>measure 2</v>
      </c>
      <c r="AB8" s="56" t="str">
        <f>IF(Info!$D$34=1,"measure 1","medida 1")</f>
        <v>measure 1</v>
      </c>
      <c r="AC8" s="56" t="str">
        <f>IF(Info!$D$34=1,"measure 2","medida 2")</f>
        <v>measure 2</v>
      </c>
      <c r="AD8" s="56" t="str">
        <f>IF(Info!$D$34=1,"measure 1","medida 1")</f>
        <v>measure 1</v>
      </c>
      <c r="AE8" s="56" t="str">
        <f>IF(Info!$D$34=1,"measure 2","medida 2")</f>
        <v>measure 2</v>
      </c>
      <c r="AF8" s="56" t="str">
        <f>IF(Info!$D$34=1,"measure 1","medida 1")</f>
        <v>measure 1</v>
      </c>
      <c r="AG8" s="56" t="str">
        <f>IF(Info!$D$34=1,"measure 2","medida 2")</f>
        <v>measure 2</v>
      </c>
      <c r="AH8" s="56" t="str">
        <f>IF(Info!$D$34=1,"measure 1","medida 1")</f>
        <v>measure 1</v>
      </c>
      <c r="AI8" s="56" t="str">
        <f>IF(Info!$D$34=1,"measure 2","medida 2")</f>
        <v>measure 2</v>
      </c>
      <c r="AJ8" s="56" t="str">
        <f>IF(Info!$D$34=1,"measure 1","medida 1")</f>
        <v>measure 1</v>
      </c>
      <c r="AK8" s="56" t="str">
        <f>IF(Info!$D$34=1,"measure 2","medida 2")</f>
        <v>measure 2</v>
      </c>
      <c r="AL8" s="56" t="str">
        <f>IF(Info!$D$34=1,"measure 1","medida 1")</f>
        <v>measure 1</v>
      </c>
      <c r="AM8" s="56" t="str">
        <f>IF(Info!$D$34=1,"measure 2","medida 2")</f>
        <v>measure 2</v>
      </c>
      <c r="AN8" s="56" t="str">
        <f>IF(Info!$D$34=1,"measure 1","medida 1")</f>
        <v>measure 1</v>
      </c>
      <c r="AO8" s="56" t="str">
        <f>IF(Info!$D$34=1,"measure 2","medida 2")</f>
        <v>measure 2</v>
      </c>
      <c r="AP8" s="56" t="str">
        <f>IF(Info!$D$34=1,"measure 1","medida 1")</f>
        <v>measure 1</v>
      </c>
      <c r="AQ8" s="56" t="str">
        <f>IF(Info!$D$34=1,"measure 2","medida 2")</f>
        <v>measure 2</v>
      </c>
    </row>
    <row r="9" spans="2:43" ht="13.8" thickTop="1">
      <c r="B9" s="15"/>
      <c r="C9" s="17"/>
    </row>
    <row r="10" spans="2:43">
      <c r="B10" s="27">
        <v>1</v>
      </c>
      <c r="C10" s="17" t="str">
        <f>'20.'!R67</f>
        <v>Mass</v>
      </c>
      <c r="D10" s="1">
        <f>'3'!M67</f>
        <v>0</v>
      </c>
      <c r="E10" s="1">
        <f>'3'!N67</f>
        <v>0</v>
      </c>
      <c r="F10" s="1">
        <f>'1'!M67</f>
        <v>0</v>
      </c>
      <c r="G10" s="1">
        <f>'1'!N67</f>
        <v>0</v>
      </c>
      <c r="H10" s="1">
        <f>'4'!M67</f>
        <v>0</v>
      </c>
      <c r="I10" s="1">
        <f>'4'!N67</f>
        <v>0</v>
      </c>
      <c r="J10" s="1">
        <f>'5'!M67</f>
        <v>0</v>
      </c>
      <c r="K10" s="1">
        <f>'5'!N67</f>
        <v>0</v>
      </c>
      <c r="L10" s="1">
        <f>'6'!M67</f>
        <v>0</v>
      </c>
      <c r="M10" s="1">
        <f>'6'!N67</f>
        <v>0</v>
      </c>
      <c r="N10" s="1">
        <f>'7'!M67</f>
        <v>0</v>
      </c>
      <c r="O10" s="1">
        <f>'7'!N67</f>
        <v>0</v>
      </c>
      <c r="P10" s="1">
        <f>'7.'!M67</f>
        <v>77.400000000000006</v>
      </c>
      <c r="Q10" s="1">
        <f>'7.'!N67</f>
        <v>77.400000000000006</v>
      </c>
      <c r="R10" s="1">
        <f>'8.'!M67</f>
        <v>54.7</v>
      </c>
      <c r="S10" s="1">
        <f>'8.'!N67</f>
        <v>54.7</v>
      </c>
      <c r="T10" s="1">
        <f>'9.'!M67</f>
        <v>0</v>
      </c>
      <c r="U10" s="1">
        <f>'9.'!N67</f>
        <v>0</v>
      </c>
      <c r="V10" s="1">
        <f>'10.'!M67</f>
        <v>71.25</v>
      </c>
      <c r="W10" s="1">
        <f>'10.'!N67</f>
        <v>71.3</v>
      </c>
      <c r="X10" s="1">
        <f>'11.'!M67</f>
        <v>78.400000000000006</v>
      </c>
      <c r="Y10" s="1">
        <f>'11.'!N67</f>
        <v>78.400000000000006</v>
      </c>
      <c r="Z10" s="1">
        <f>'12.'!M67</f>
        <v>66.3</v>
      </c>
      <c r="AA10" s="1">
        <f>'12.'!N67</f>
        <v>66.3</v>
      </c>
      <c r="AB10" s="1">
        <f>'13.'!M67</f>
        <v>83.6</v>
      </c>
      <c r="AC10" s="1">
        <f>'13.'!N67</f>
        <v>83.6</v>
      </c>
      <c r="AD10" s="1">
        <f>'14.'!M67</f>
        <v>68.3</v>
      </c>
      <c r="AE10" s="1">
        <f>'14.'!N67</f>
        <v>68.3</v>
      </c>
      <c r="AF10" s="1">
        <f>'15.'!M67</f>
        <v>0</v>
      </c>
      <c r="AG10" s="1">
        <f>'15.'!N67</f>
        <v>0</v>
      </c>
      <c r="AH10" s="1">
        <f>'16.'!M67</f>
        <v>0</v>
      </c>
      <c r="AI10" s="1">
        <f>'16.'!N67</f>
        <v>0</v>
      </c>
      <c r="AJ10" s="1">
        <f>'17.'!M67</f>
        <v>0</v>
      </c>
      <c r="AK10" s="1">
        <f>'17.'!N67</f>
        <v>0</v>
      </c>
      <c r="AL10" s="1">
        <f>'18.'!M67</f>
        <v>0</v>
      </c>
      <c r="AM10" s="1">
        <f>'18.'!N67</f>
        <v>0</v>
      </c>
      <c r="AN10" s="1">
        <f>'19.'!M67</f>
        <v>0</v>
      </c>
      <c r="AO10" s="1">
        <f>'19.'!N67</f>
        <v>0</v>
      </c>
      <c r="AP10" s="1">
        <f>'20.'!M67</f>
        <v>0</v>
      </c>
      <c r="AQ10" s="1">
        <f>'20.'!N67</f>
        <v>0</v>
      </c>
    </row>
    <row r="11" spans="2:43">
      <c r="B11" s="27">
        <v>2</v>
      </c>
      <c r="C11" s="17" t="str">
        <f>'20.'!R68</f>
        <v>Stature</v>
      </c>
      <c r="D11" s="1">
        <f>'3'!M68</f>
        <v>0</v>
      </c>
      <c r="E11" s="1">
        <f>'3'!N68</f>
        <v>0</v>
      </c>
      <c r="F11" s="1">
        <f>'1'!M68</f>
        <v>0</v>
      </c>
      <c r="G11" s="1">
        <f>'1'!N68</f>
        <v>0</v>
      </c>
      <c r="H11" s="1">
        <f>'4'!M68</f>
        <v>0</v>
      </c>
      <c r="I11" s="1">
        <f>'4'!N68</f>
        <v>0</v>
      </c>
      <c r="J11" s="1">
        <f>'5'!M68</f>
        <v>0</v>
      </c>
      <c r="K11" s="1">
        <f>'5'!N68</f>
        <v>0</v>
      </c>
      <c r="L11" s="1">
        <f>'6'!M68</f>
        <v>0</v>
      </c>
      <c r="M11" s="1">
        <f>'6'!N68</f>
        <v>0</v>
      </c>
      <c r="N11" s="1">
        <f>'7'!M68</f>
        <v>0</v>
      </c>
      <c r="O11" s="1">
        <f>'7'!N68</f>
        <v>0</v>
      </c>
      <c r="P11" s="1">
        <f>'7.'!M68</f>
        <v>176</v>
      </c>
      <c r="Q11" s="1">
        <f>'7.'!N68</f>
        <v>176</v>
      </c>
      <c r="R11" s="1">
        <f>'8.'!M68</f>
        <v>168</v>
      </c>
      <c r="S11" s="1">
        <f>'8.'!N68</f>
        <v>168</v>
      </c>
      <c r="T11" s="1">
        <f>'9.'!M68</f>
        <v>0</v>
      </c>
      <c r="U11" s="1">
        <f>'9.'!N68</f>
        <v>0</v>
      </c>
      <c r="V11" s="1">
        <f>'10.'!M68</f>
        <v>179</v>
      </c>
      <c r="W11" s="1">
        <f>'10.'!N68</f>
        <v>179</v>
      </c>
      <c r="X11" s="1">
        <f>'11.'!M68</f>
        <v>172.5</v>
      </c>
      <c r="Y11" s="1">
        <f>'11.'!N68</f>
        <v>172.5</v>
      </c>
      <c r="Z11" s="1">
        <f>'12.'!M68</f>
        <v>177</v>
      </c>
      <c r="AA11" s="1">
        <f>'12.'!N68</f>
        <v>177</v>
      </c>
      <c r="AB11" s="1">
        <f>'13.'!M68</f>
        <v>183</v>
      </c>
      <c r="AC11" s="1">
        <f>'13.'!N68</f>
        <v>183</v>
      </c>
      <c r="AD11" s="1">
        <f>'14.'!M68</f>
        <v>172</v>
      </c>
      <c r="AE11" s="1">
        <f>'14.'!N68</f>
        <v>172</v>
      </c>
      <c r="AF11" s="1">
        <f>'15.'!M68</f>
        <v>0</v>
      </c>
      <c r="AG11" s="1">
        <f>'15.'!N68</f>
        <v>0</v>
      </c>
      <c r="AH11" s="1">
        <f>'16.'!M68</f>
        <v>0</v>
      </c>
      <c r="AI11" s="1">
        <f>'16.'!N68</f>
        <v>0</v>
      </c>
      <c r="AJ11" s="1">
        <f>'17.'!M68</f>
        <v>0</v>
      </c>
      <c r="AK11" s="1">
        <f>'17.'!N68</f>
        <v>0</v>
      </c>
      <c r="AL11" s="1">
        <f>'18.'!M68</f>
        <v>0</v>
      </c>
      <c r="AM11" s="1">
        <f>'18.'!N68</f>
        <v>0</v>
      </c>
      <c r="AN11" s="1">
        <f>'19.'!M68</f>
        <v>0</v>
      </c>
      <c r="AO11" s="1">
        <f>'19.'!N68</f>
        <v>0</v>
      </c>
      <c r="AP11" s="1">
        <f>'20.'!M68</f>
        <v>0</v>
      </c>
      <c r="AQ11" s="1">
        <f>'20.'!N68</f>
        <v>0</v>
      </c>
    </row>
    <row r="12" spans="2:43">
      <c r="B12" s="27">
        <v>3</v>
      </c>
      <c r="C12" s="17" t="str">
        <f>'20.'!R69</f>
        <v>Sitting height</v>
      </c>
      <c r="D12" s="1">
        <f>'3'!M69</f>
        <v>0</v>
      </c>
      <c r="E12" s="1">
        <f>'3'!N69</f>
        <v>0</v>
      </c>
      <c r="F12" s="1">
        <f>'1'!M69</f>
        <v>0</v>
      </c>
      <c r="G12" s="1">
        <f>'1'!N69</f>
        <v>0</v>
      </c>
      <c r="H12" s="1">
        <f>'4'!M69</f>
        <v>0</v>
      </c>
      <c r="I12" s="1">
        <f>'4'!N69</f>
        <v>0</v>
      </c>
      <c r="J12" s="1">
        <f>'5'!M69</f>
        <v>0</v>
      </c>
      <c r="K12" s="1">
        <f>'5'!N69</f>
        <v>0</v>
      </c>
      <c r="L12" s="1">
        <f>'6'!M69</f>
        <v>0</v>
      </c>
      <c r="M12" s="1">
        <f>'6'!N69</f>
        <v>0</v>
      </c>
      <c r="N12" s="1">
        <f>'7'!M69</f>
        <v>0</v>
      </c>
      <c r="O12" s="1">
        <f>'7'!N69</f>
        <v>0</v>
      </c>
      <c r="P12" s="1">
        <f>'7.'!M69</f>
        <v>94.5</v>
      </c>
      <c r="Q12" s="1">
        <f>'7.'!N69</f>
        <v>94.5</v>
      </c>
      <c r="R12" s="1">
        <f>'8.'!M69</f>
        <v>86.5</v>
      </c>
      <c r="S12" s="1">
        <f>'8.'!N69</f>
        <v>86.5</v>
      </c>
      <c r="T12" s="1">
        <f>'9.'!M69</f>
        <v>0</v>
      </c>
      <c r="U12" s="1">
        <f>'9.'!N69</f>
        <v>0</v>
      </c>
      <c r="V12" s="1">
        <f>'10.'!M69</f>
        <v>99</v>
      </c>
      <c r="W12" s="1">
        <f>'10.'!N69</f>
        <v>99</v>
      </c>
      <c r="X12" s="1">
        <f>'11.'!M69</f>
        <v>91.5</v>
      </c>
      <c r="Y12" s="1">
        <f>'11.'!N69</f>
        <v>91.5</v>
      </c>
      <c r="Z12" s="1">
        <f>'12.'!M69</f>
        <v>128.5</v>
      </c>
      <c r="AA12" s="1">
        <f>'12.'!N69</f>
        <v>128.5</v>
      </c>
      <c r="AB12" s="1">
        <f>'13.'!M69</f>
        <v>115</v>
      </c>
      <c r="AC12" s="1">
        <f>'13.'!N69</f>
        <v>115</v>
      </c>
      <c r="AD12" s="1">
        <f>'14.'!M69</f>
        <v>85</v>
      </c>
      <c r="AE12" s="1">
        <f>'14.'!N69</f>
        <v>85</v>
      </c>
      <c r="AF12" s="1">
        <f>'15.'!M69</f>
        <v>0</v>
      </c>
      <c r="AG12" s="1">
        <f>'15.'!N69</f>
        <v>0</v>
      </c>
      <c r="AH12" s="1">
        <f>'16.'!M69</f>
        <v>0</v>
      </c>
      <c r="AI12" s="1">
        <f>'16.'!N69</f>
        <v>0</v>
      </c>
      <c r="AJ12" s="1">
        <f>'17.'!M69</f>
        <v>0</v>
      </c>
      <c r="AK12" s="1">
        <f>'17.'!N69</f>
        <v>0</v>
      </c>
      <c r="AL12" s="1">
        <f>'18.'!M69</f>
        <v>0</v>
      </c>
      <c r="AM12" s="1">
        <f>'18.'!N69</f>
        <v>0</v>
      </c>
      <c r="AN12" s="1">
        <f>'19.'!M69</f>
        <v>0</v>
      </c>
      <c r="AO12" s="1">
        <f>'19.'!N69</f>
        <v>0</v>
      </c>
      <c r="AP12" s="1">
        <f>'20.'!M69</f>
        <v>0</v>
      </c>
      <c r="AQ12" s="1">
        <f>'20.'!N69</f>
        <v>0</v>
      </c>
    </row>
    <row r="13" spans="2:43">
      <c r="B13" s="27">
        <v>4</v>
      </c>
      <c r="C13" s="17" t="str">
        <f>'20.'!R70</f>
        <v>Arm Span</v>
      </c>
      <c r="D13" s="1">
        <f>'3'!M70</f>
        <v>0</v>
      </c>
      <c r="E13" s="1">
        <f>'3'!N70</f>
        <v>0</v>
      </c>
      <c r="F13" s="1">
        <f>'1'!M70</f>
        <v>0</v>
      </c>
      <c r="G13" s="1">
        <f>'1'!N70</f>
        <v>0</v>
      </c>
      <c r="H13" s="1">
        <f>'4'!M70</f>
        <v>0</v>
      </c>
      <c r="I13" s="1">
        <f>'4'!N70</f>
        <v>0</v>
      </c>
      <c r="J13" s="1">
        <f>'5'!M70</f>
        <v>0</v>
      </c>
      <c r="K13" s="1">
        <f>'5'!N70</f>
        <v>0</v>
      </c>
      <c r="L13" s="1">
        <f>'6'!M70</f>
        <v>0</v>
      </c>
      <c r="M13" s="1">
        <f>'6'!N70</f>
        <v>0</v>
      </c>
      <c r="N13" s="1">
        <f>'7'!M70</f>
        <v>0</v>
      </c>
      <c r="O13" s="1">
        <f>'7'!N70</f>
        <v>0</v>
      </c>
      <c r="P13" s="1">
        <f>'7.'!M70</f>
        <v>170.3</v>
      </c>
      <c r="Q13" s="1">
        <f>'7.'!N70</f>
        <v>170</v>
      </c>
      <c r="R13" s="1">
        <f>'8.'!M70</f>
        <v>168</v>
      </c>
      <c r="S13" s="1">
        <f>'8.'!N70</f>
        <v>168</v>
      </c>
      <c r="T13" s="1">
        <f>'9.'!M70</f>
        <v>0</v>
      </c>
      <c r="U13" s="1">
        <f>'9.'!N70</f>
        <v>0</v>
      </c>
      <c r="V13" s="1">
        <f>'10.'!M70</f>
        <v>178.5</v>
      </c>
      <c r="W13" s="1">
        <f>'10.'!N70</f>
        <v>178.5</v>
      </c>
      <c r="X13" s="1">
        <f>'11.'!M70</f>
        <v>171</v>
      </c>
      <c r="Y13" s="1">
        <f>'11.'!N70</f>
        <v>171</v>
      </c>
      <c r="Z13" s="1">
        <f>'12.'!M70</f>
        <v>179</v>
      </c>
      <c r="AA13" s="1">
        <f>'12.'!N70</f>
        <v>179</v>
      </c>
      <c r="AB13" s="1">
        <f>'13.'!M70</f>
        <v>179.5</v>
      </c>
      <c r="AC13" s="1">
        <f>'13.'!N70</f>
        <v>179.5</v>
      </c>
      <c r="AD13" s="1">
        <f>'14.'!M70</f>
        <v>172</v>
      </c>
      <c r="AE13" s="1">
        <f>'14.'!N70</f>
        <v>172</v>
      </c>
      <c r="AF13" s="1">
        <f>'15.'!M70</f>
        <v>0</v>
      </c>
      <c r="AG13" s="1">
        <f>'15.'!N70</f>
        <v>0</v>
      </c>
      <c r="AH13" s="1">
        <f>'16.'!M70</f>
        <v>0</v>
      </c>
      <c r="AI13" s="1">
        <f>'16.'!N70</f>
        <v>0</v>
      </c>
      <c r="AJ13" s="1">
        <f>'17.'!M70</f>
        <v>0</v>
      </c>
      <c r="AK13" s="1">
        <f>'17.'!N70</f>
        <v>0</v>
      </c>
      <c r="AL13" s="1">
        <f>'18.'!M70</f>
        <v>0</v>
      </c>
      <c r="AM13" s="1">
        <f>'18.'!N70</f>
        <v>0</v>
      </c>
      <c r="AN13" s="1">
        <f>'19.'!M70</f>
        <v>0</v>
      </c>
      <c r="AO13" s="1">
        <f>'19.'!N70</f>
        <v>0</v>
      </c>
      <c r="AP13" s="1">
        <f>'20.'!M70</f>
        <v>0</v>
      </c>
      <c r="AQ13" s="1">
        <f>'20.'!N70</f>
        <v>0</v>
      </c>
    </row>
    <row r="14" spans="2:43">
      <c r="B14" s="27">
        <v>5</v>
      </c>
      <c r="C14" s="17" t="str">
        <f>'20.'!R71</f>
        <v>Triceps sf</v>
      </c>
      <c r="D14" s="1">
        <f>'3'!M71</f>
        <v>0</v>
      </c>
      <c r="E14" s="1">
        <f>'3'!N71</f>
        <v>0</v>
      </c>
      <c r="F14" s="1">
        <f>'1'!M71</f>
        <v>0</v>
      </c>
      <c r="G14" s="1">
        <f>'1'!N71</f>
        <v>0</v>
      </c>
      <c r="H14" s="1">
        <f>'4'!M71</f>
        <v>0</v>
      </c>
      <c r="I14" s="1">
        <f>'4'!N71</f>
        <v>0</v>
      </c>
      <c r="J14" s="1">
        <f>'5'!M71</f>
        <v>0</v>
      </c>
      <c r="K14" s="1">
        <f>'5'!N71</f>
        <v>0</v>
      </c>
      <c r="L14" s="1">
        <f>'6'!M71</f>
        <v>0</v>
      </c>
      <c r="M14" s="1">
        <f>'6'!N71</f>
        <v>0</v>
      </c>
      <c r="N14" s="1">
        <f>'7'!M71</f>
        <v>0</v>
      </c>
      <c r="O14" s="1">
        <f>'7'!N71</f>
        <v>0</v>
      </c>
      <c r="P14" s="1">
        <f>'7.'!M71</f>
        <v>6</v>
      </c>
      <c r="Q14" s="1">
        <f>'7.'!N71</f>
        <v>6</v>
      </c>
      <c r="R14" s="1">
        <f>'8.'!M71</f>
        <v>10</v>
      </c>
      <c r="S14" s="1">
        <f>'8.'!N71</f>
        <v>10</v>
      </c>
      <c r="T14" s="1">
        <f>'9.'!M71</f>
        <v>0</v>
      </c>
      <c r="U14" s="1">
        <f>'9.'!N71</f>
        <v>0</v>
      </c>
      <c r="V14" s="1">
        <f>'10.'!M71</f>
        <v>8</v>
      </c>
      <c r="W14" s="1">
        <f>'10.'!N71</f>
        <v>8</v>
      </c>
      <c r="X14" s="1">
        <f>'11.'!M71</f>
        <v>6.5</v>
      </c>
      <c r="Y14" s="1">
        <f>'11.'!N71</f>
        <v>6.5</v>
      </c>
      <c r="Z14" s="1">
        <f>'12.'!M71</f>
        <v>5</v>
      </c>
      <c r="AA14" s="1">
        <f>'12.'!N71</f>
        <v>5</v>
      </c>
      <c r="AB14" s="1">
        <f>'13.'!M71</f>
        <v>5</v>
      </c>
      <c r="AC14" s="1">
        <f>'13.'!N71</f>
        <v>5</v>
      </c>
      <c r="AD14" s="1">
        <f>'14.'!M71</f>
        <v>9</v>
      </c>
      <c r="AE14" s="1">
        <f>'14.'!N71</f>
        <v>9</v>
      </c>
      <c r="AF14" s="1">
        <f>'15.'!M71</f>
        <v>0</v>
      </c>
      <c r="AG14" s="1">
        <f>'15.'!N71</f>
        <v>0</v>
      </c>
      <c r="AH14" s="1">
        <f>'16.'!M71</f>
        <v>0</v>
      </c>
      <c r="AI14" s="1">
        <f>'16.'!N71</f>
        <v>0</v>
      </c>
      <c r="AJ14" s="1">
        <f>'17.'!M71</f>
        <v>0</v>
      </c>
      <c r="AK14" s="1">
        <f>'17.'!N71</f>
        <v>0</v>
      </c>
      <c r="AL14" s="1">
        <f>'18.'!M71</f>
        <v>7</v>
      </c>
      <c r="AM14" s="1">
        <f>'18.'!N71</f>
        <v>6.5</v>
      </c>
      <c r="AN14" s="1">
        <f>'19.'!M71</f>
        <v>19</v>
      </c>
      <c r="AO14" s="1">
        <f>'19.'!N71</f>
        <v>17</v>
      </c>
      <c r="AP14" s="1">
        <f>'20.'!M71</f>
        <v>0</v>
      </c>
      <c r="AQ14" s="1">
        <f>'20.'!N71</f>
        <v>0</v>
      </c>
    </row>
    <row r="15" spans="2:43">
      <c r="B15" s="27">
        <v>6</v>
      </c>
      <c r="C15" s="17" t="str">
        <f>'20.'!R72</f>
        <v>Subscapular sf</v>
      </c>
      <c r="D15" s="1">
        <f>'3'!M72</f>
        <v>0</v>
      </c>
      <c r="E15" s="1">
        <f>'3'!N72</f>
        <v>0</v>
      </c>
      <c r="F15" s="1">
        <f>'1'!M72</f>
        <v>0</v>
      </c>
      <c r="G15" s="1">
        <f>'1'!N72</f>
        <v>0</v>
      </c>
      <c r="H15" s="1">
        <f>'4'!M72</f>
        <v>0</v>
      </c>
      <c r="I15" s="1">
        <f>'4'!N72</f>
        <v>0</v>
      </c>
      <c r="J15" s="1">
        <f>'5'!M72</f>
        <v>0</v>
      </c>
      <c r="K15" s="1">
        <f>'5'!N72</f>
        <v>0</v>
      </c>
      <c r="L15" s="1">
        <f>'6'!M72</f>
        <v>0</v>
      </c>
      <c r="M15" s="1">
        <f>'6'!N72</f>
        <v>0</v>
      </c>
      <c r="N15" s="1">
        <f>'7'!M72</f>
        <v>0</v>
      </c>
      <c r="O15" s="1">
        <f>'7'!N72</f>
        <v>0</v>
      </c>
      <c r="P15" s="1">
        <f>'7.'!M72</f>
        <v>13</v>
      </c>
      <c r="Q15" s="1">
        <f>'7.'!N72</f>
        <v>13</v>
      </c>
      <c r="R15" s="1">
        <f>'8.'!M72</f>
        <v>8</v>
      </c>
      <c r="S15" s="1">
        <f>'8.'!N72</f>
        <v>8</v>
      </c>
      <c r="T15" s="1">
        <f>'9.'!M72</f>
        <v>0</v>
      </c>
      <c r="U15" s="1">
        <f>'9.'!N72</f>
        <v>0</v>
      </c>
      <c r="V15" s="1">
        <f>'10.'!M72</f>
        <v>9</v>
      </c>
      <c r="W15" s="1">
        <f>'10.'!N72</f>
        <v>9</v>
      </c>
      <c r="X15" s="1">
        <f>'11.'!M72</f>
        <v>12</v>
      </c>
      <c r="Y15" s="1">
        <f>'11.'!N72</f>
        <v>12</v>
      </c>
      <c r="Z15" s="1">
        <f>'12.'!M72</f>
        <v>7</v>
      </c>
      <c r="AA15" s="1">
        <f>'12.'!N72</f>
        <v>7</v>
      </c>
      <c r="AB15" s="1">
        <f>'13.'!M72</f>
        <v>6.5</v>
      </c>
      <c r="AC15" s="1">
        <f>'13.'!N72</f>
        <v>6.5</v>
      </c>
      <c r="AD15" s="1">
        <f>'14.'!M72</f>
        <v>13</v>
      </c>
      <c r="AE15" s="1">
        <f>'14.'!N72</f>
        <v>13</v>
      </c>
      <c r="AF15" s="1">
        <f>'15.'!M72</f>
        <v>0</v>
      </c>
      <c r="AG15" s="1">
        <f>'15.'!N72</f>
        <v>0</v>
      </c>
      <c r="AH15" s="1">
        <f>'16.'!M72</f>
        <v>0</v>
      </c>
      <c r="AI15" s="1">
        <f>'16.'!N72</f>
        <v>0</v>
      </c>
      <c r="AJ15" s="1">
        <f>'17.'!M72</f>
        <v>0</v>
      </c>
      <c r="AK15" s="1">
        <f>'17.'!N72</f>
        <v>0</v>
      </c>
      <c r="AL15" s="1">
        <f>'18.'!M72</f>
        <v>12</v>
      </c>
      <c r="AM15" s="1">
        <f>'18.'!N72</f>
        <v>13</v>
      </c>
      <c r="AN15" s="1">
        <f>'19.'!M72</f>
        <v>0</v>
      </c>
      <c r="AO15" s="1">
        <f>'19.'!N72</f>
        <v>0</v>
      </c>
      <c r="AP15" s="1">
        <f>'20.'!M72</f>
        <v>0</v>
      </c>
      <c r="AQ15" s="1">
        <f>'20.'!N72</f>
        <v>0</v>
      </c>
    </row>
    <row r="16" spans="2:43">
      <c r="B16" s="27">
        <v>7</v>
      </c>
      <c r="C16" s="17" t="str">
        <f>'20.'!R73</f>
        <v>Biceps sf</v>
      </c>
      <c r="D16" s="1">
        <f>'3'!M73</f>
        <v>0</v>
      </c>
      <c r="E16" s="1">
        <f>'3'!N73</f>
        <v>0</v>
      </c>
      <c r="F16" s="1">
        <f>'1'!M73</f>
        <v>0</v>
      </c>
      <c r="G16" s="1">
        <f>'1'!N73</f>
        <v>0</v>
      </c>
      <c r="H16" s="1">
        <f>'4'!M73</f>
        <v>0</v>
      </c>
      <c r="I16" s="1">
        <f>'4'!N73</f>
        <v>0</v>
      </c>
      <c r="J16" s="1">
        <f>'5'!M73</f>
        <v>0</v>
      </c>
      <c r="K16" s="1">
        <f>'5'!N73</f>
        <v>0</v>
      </c>
      <c r="L16" s="1">
        <f>'6'!M73</f>
        <v>0</v>
      </c>
      <c r="M16" s="1">
        <f>'6'!N73</f>
        <v>0</v>
      </c>
      <c r="N16" s="1">
        <f>'7'!M73</f>
        <v>0</v>
      </c>
      <c r="O16" s="1">
        <f>'7'!N73</f>
        <v>0</v>
      </c>
      <c r="P16" s="1">
        <f>'7.'!M73</f>
        <v>3.5</v>
      </c>
      <c r="Q16" s="1">
        <f>'7.'!N73</f>
        <v>3.5</v>
      </c>
      <c r="R16" s="1">
        <f>'8.'!M73</f>
        <v>3</v>
      </c>
      <c r="S16" s="1">
        <f>'8.'!N73</f>
        <v>3</v>
      </c>
      <c r="T16" s="1">
        <f>'9.'!M73</f>
        <v>0</v>
      </c>
      <c r="U16" s="1">
        <f>'9.'!N73</f>
        <v>0</v>
      </c>
      <c r="V16" s="1">
        <f>'10.'!M73</f>
        <v>3</v>
      </c>
      <c r="W16" s="1">
        <f>'10.'!N73</f>
        <v>3</v>
      </c>
      <c r="X16" s="1">
        <f>'11.'!M73</f>
        <v>3</v>
      </c>
      <c r="Y16" s="1">
        <f>'11.'!N73</f>
        <v>3</v>
      </c>
      <c r="Z16" s="1">
        <f>'12.'!M73</f>
        <v>1.5</v>
      </c>
      <c r="AA16" s="1">
        <f>'12.'!N73</f>
        <v>1.5</v>
      </c>
      <c r="AB16" s="1">
        <f>'13.'!M73</f>
        <v>1</v>
      </c>
      <c r="AC16" s="1">
        <f>'13.'!N73</f>
        <v>1</v>
      </c>
      <c r="AD16" s="1">
        <f>'14.'!M73</f>
        <v>4</v>
      </c>
      <c r="AE16" s="1">
        <f>'14.'!N73</f>
        <v>4</v>
      </c>
      <c r="AF16" s="1">
        <f>'15.'!M73</f>
        <v>0</v>
      </c>
      <c r="AG16" s="1">
        <f>'15.'!N73</f>
        <v>0</v>
      </c>
      <c r="AH16" s="1">
        <f>'16.'!M73</f>
        <v>0</v>
      </c>
      <c r="AI16" s="1">
        <f>'16.'!N73</f>
        <v>0</v>
      </c>
      <c r="AJ16" s="1">
        <f>'17.'!M73</f>
        <v>0</v>
      </c>
      <c r="AK16" s="1">
        <f>'17.'!N73</f>
        <v>0</v>
      </c>
      <c r="AL16" s="1">
        <f>'18.'!M73</f>
        <v>3</v>
      </c>
      <c r="AM16" s="1">
        <f>'18.'!N73</f>
        <v>3.5</v>
      </c>
      <c r="AN16" s="1">
        <f>'19.'!M73</f>
        <v>0</v>
      </c>
      <c r="AO16" s="1">
        <f>'19.'!N73</f>
        <v>0</v>
      </c>
      <c r="AP16" s="1">
        <f>'20.'!M73</f>
        <v>0</v>
      </c>
      <c r="AQ16" s="1">
        <f>'20.'!N73</f>
        <v>0</v>
      </c>
    </row>
    <row r="17" spans="2:43">
      <c r="B17" s="27">
        <v>8</v>
      </c>
      <c r="C17" s="17" t="str">
        <f>'20.'!R74</f>
        <v>Iliac crest sf</v>
      </c>
      <c r="D17" s="1">
        <f>'3'!M74</f>
        <v>0</v>
      </c>
      <c r="E17" s="1">
        <f>'3'!N74</f>
        <v>0</v>
      </c>
      <c r="F17" s="1">
        <f>'1'!M74</f>
        <v>0</v>
      </c>
      <c r="G17" s="1">
        <f>'1'!N74</f>
        <v>0</v>
      </c>
      <c r="H17" s="1">
        <f>'4'!M74</f>
        <v>0</v>
      </c>
      <c r="I17" s="1">
        <f>'4'!N74</f>
        <v>0</v>
      </c>
      <c r="J17" s="1">
        <f>'5'!M74</f>
        <v>0</v>
      </c>
      <c r="K17" s="1">
        <f>'5'!N74</f>
        <v>0</v>
      </c>
      <c r="L17" s="1">
        <f>'6'!M74</f>
        <v>0</v>
      </c>
      <c r="M17" s="1">
        <f>'6'!N74</f>
        <v>0</v>
      </c>
      <c r="N17" s="1">
        <f>'7'!M74</f>
        <v>0</v>
      </c>
      <c r="O17" s="1">
        <f>'7'!N74</f>
        <v>0</v>
      </c>
      <c r="P17" s="1">
        <f>'7.'!M74</f>
        <v>14</v>
      </c>
      <c r="Q17" s="1">
        <f>'7.'!N74</f>
        <v>14</v>
      </c>
      <c r="R17" s="1">
        <f>'8.'!M74</f>
        <v>14</v>
      </c>
      <c r="S17" s="1">
        <f>'8.'!N74</f>
        <v>14</v>
      </c>
      <c r="T17" s="1">
        <f>'9.'!M74</f>
        <v>0</v>
      </c>
      <c r="U17" s="1">
        <f>'9.'!N74</f>
        <v>0</v>
      </c>
      <c r="V17" s="1">
        <f>'10.'!M74</f>
        <v>25</v>
      </c>
      <c r="W17" s="1">
        <f>'10.'!N74</f>
        <v>25</v>
      </c>
      <c r="X17" s="1">
        <f>'11.'!M74</f>
        <v>22</v>
      </c>
      <c r="Y17" s="1">
        <f>'11.'!N74</f>
        <v>22</v>
      </c>
      <c r="Z17" s="1">
        <f>'12.'!M74</f>
        <v>10</v>
      </c>
      <c r="AA17" s="1">
        <f>'12.'!N74</f>
        <v>10</v>
      </c>
      <c r="AB17" s="1">
        <f>'13.'!M74</f>
        <v>5.5</v>
      </c>
      <c r="AC17" s="1">
        <f>'13.'!N74</f>
        <v>5.5</v>
      </c>
      <c r="AD17" s="1">
        <f>'14.'!M74</f>
        <v>23</v>
      </c>
      <c r="AE17" s="1">
        <f>'14.'!N74</f>
        <v>23</v>
      </c>
      <c r="AF17" s="1">
        <f>'15.'!M74</f>
        <v>0</v>
      </c>
      <c r="AG17" s="1">
        <f>'15.'!N74</f>
        <v>0</v>
      </c>
      <c r="AH17" s="1">
        <f>'16.'!M74</f>
        <v>0</v>
      </c>
      <c r="AI17" s="1">
        <f>'16.'!N74</f>
        <v>0</v>
      </c>
      <c r="AJ17" s="1">
        <f>'17.'!M74</f>
        <v>0</v>
      </c>
      <c r="AK17" s="1">
        <f>'17.'!N74</f>
        <v>0</v>
      </c>
      <c r="AL17" s="1">
        <f>'18.'!M74</f>
        <v>26</v>
      </c>
      <c r="AM17" s="1">
        <f>'18.'!N74</f>
        <v>29</v>
      </c>
      <c r="AN17" s="1">
        <f>'19.'!M74</f>
        <v>0</v>
      </c>
      <c r="AO17" s="1">
        <f>'19.'!N74</f>
        <v>0</v>
      </c>
      <c r="AP17" s="1">
        <f>'20.'!M74</f>
        <v>27</v>
      </c>
      <c r="AQ17" s="1">
        <f>'20.'!N74</f>
        <v>26</v>
      </c>
    </row>
    <row r="18" spans="2:43">
      <c r="B18" s="27">
        <v>9</v>
      </c>
      <c r="C18" s="17" t="str">
        <f>'20.'!R75</f>
        <v>Supraspinale sf</v>
      </c>
      <c r="D18" s="1">
        <f>'3'!M75</f>
        <v>0</v>
      </c>
      <c r="E18" s="1">
        <f>'3'!N75</f>
        <v>0</v>
      </c>
      <c r="F18" s="1">
        <f>'1'!M75</f>
        <v>0</v>
      </c>
      <c r="G18" s="1">
        <f>'1'!N75</f>
        <v>0</v>
      </c>
      <c r="H18" s="1">
        <f>'4'!M75</f>
        <v>0</v>
      </c>
      <c r="I18" s="1">
        <f>'4'!N75</f>
        <v>0</v>
      </c>
      <c r="J18" s="1">
        <f>'5'!M75</f>
        <v>0</v>
      </c>
      <c r="K18" s="1">
        <f>'5'!N75</f>
        <v>0</v>
      </c>
      <c r="L18" s="1">
        <f>'6'!M75</f>
        <v>0</v>
      </c>
      <c r="M18" s="1">
        <f>'6'!N75</f>
        <v>0</v>
      </c>
      <c r="N18" s="1">
        <f>'7'!M75</f>
        <v>0</v>
      </c>
      <c r="O18" s="1">
        <f>'7'!N75</f>
        <v>0</v>
      </c>
      <c r="P18" s="1">
        <f>'7.'!M75</f>
        <v>5</v>
      </c>
      <c r="Q18" s="1">
        <f>'7.'!N75</f>
        <v>5</v>
      </c>
      <c r="R18" s="1">
        <f>'8.'!M75</f>
        <v>8</v>
      </c>
      <c r="S18" s="1">
        <f>'8.'!N75</f>
        <v>8</v>
      </c>
      <c r="T18" s="1">
        <f>'9.'!M75</f>
        <v>0</v>
      </c>
      <c r="U18" s="1">
        <f>'9.'!N75</f>
        <v>0</v>
      </c>
      <c r="V18" s="1">
        <f>'10.'!M75</f>
        <v>6</v>
      </c>
      <c r="W18" s="1">
        <f>'10.'!N75</f>
        <v>6</v>
      </c>
      <c r="X18" s="1">
        <f>'11.'!M75</f>
        <v>10</v>
      </c>
      <c r="Y18" s="1">
        <f>'11.'!N75</f>
        <v>10</v>
      </c>
      <c r="Z18" s="1">
        <f>'12.'!M75</f>
        <v>5</v>
      </c>
      <c r="AA18" s="1">
        <f>'12.'!N75</f>
        <v>5</v>
      </c>
      <c r="AB18" s="1">
        <f>'13.'!M75</f>
        <v>4.5</v>
      </c>
      <c r="AC18" s="1">
        <f>'13.'!N75</f>
        <v>4.5</v>
      </c>
      <c r="AD18" s="1">
        <f>'14.'!M75</f>
        <v>11</v>
      </c>
      <c r="AE18" s="1">
        <f>'14.'!N75</f>
        <v>11</v>
      </c>
      <c r="AF18" s="1">
        <f>'15.'!M75</f>
        <v>0</v>
      </c>
      <c r="AG18" s="1">
        <f>'15.'!N75</f>
        <v>0</v>
      </c>
      <c r="AH18" s="1">
        <f>'16.'!M75</f>
        <v>0</v>
      </c>
      <c r="AI18" s="1">
        <f>'16.'!N75</f>
        <v>0</v>
      </c>
      <c r="AJ18" s="1">
        <f>'17.'!M75</f>
        <v>0</v>
      </c>
      <c r="AK18" s="1">
        <f>'17.'!N75</f>
        <v>0</v>
      </c>
      <c r="AL18" s="1">
        <f>'18.'!M75</f>
        <v>10</v>
      </c>
      <c r="AM18" s="1">
        <f>'18.'!N75</f>
        <v>10.5</v>
      </c>
      <c r="AN18" s="1">
        <f>'19.'!M75</f>
        <v>0</v>
      </c>
      <c r="AO18" s="1">
        <f>'19.'!N75</f>
        <v>0</v>
      </c>
      <c r="AP18" s="1">
        <f>'20.'!M75</f>
        <v>9.5</v>
      </c>
      <c r="AQ18" s="1">
        <f>'20.'!N75</f>
        <v>9.5</v>
      </c>
    </row>
    <row r="19" spans="2:43">
      <c r="B19" s="27">
        <v>10</v>
      </c>
      <c r="C19" s="17" t="str">
        <f>'20.'!R76</f>
        <v>Abdominal sf</v>
      </c>
      <c r="D19" s="1">
        <f>'3'!M76</f>
        <v>0</v>
      </c>
      <c r="E19" s="1">
        <f>'3'!N76</f>
        <v>0</v>
      </c>
      <c r="F19" s="1">
        <f>'1'!M76</f>
        <v>0</v>
      </c>
      <c r="G19" s="1">
        <f>'1'!N76</f>
        <v>0</v>
      </c>
      <c r="H19" s="1">
        <f>'4'!M76</f>
        <v>0</v>
      </c>
      <c r="I19" s="1">
        <f>'4'!N76</f>
        <v>0</v>
      </c>
      <c r="J19" s="1">
        <f>'5'!M76</f>
        <v>0</v>
      </c>
      <c r="K19" s="1">
        <f>'5'!N76</f>
        <v>0</v>
      </c>
      <c r="L19" s="1">
        <f>'6'!M76</f>
        <v>0</v>
      </c>
      <c r="M19" s="1">
        <f>'6'!N76</f>
        <v>0</v>
      </c>
      <c r="N19" s="1">
        <f>'7'!M76</f>
        <v>0</v>
      </c>
      <c r="O19" s="1">
        <f>'7'!N76</f>
        <v>0</v>
      </c>
      <c r="P19" s="1">
        <f>'7.'!M76</f>
        <v>7.5</v>
      </c>
      <c r="Q19" s="1">
        <f>'7.'!N76</f>
        <v>7.5</v>
      </c>
      <c r="R19" s="1">
        <f>'8.'!M76</f>
        <v>14</v>
      </c>
      <c r="S19" s="1">
        <f>'8.'!N76</f>
        <v>14</v>
      </c>
      <c r="T19" s="1">
        <f>'9.'!M76</f>
        <v>0</v>
      </c>
      <c r="U19" s="1">
        <f>'9.'!N76</f>
        <v>0</v>
      </c>
      <c r="V19" s="1">
        <f>'10.'!M76</f>
        <v>13</v>
      </c>
      <c r="W19" s="1">
        <f>'10.'!N76</f>
        <v>13</v>
      </c>
      <c r="X19" s="1">
        <f>'11.'!M76</f>
        <v>15.5</v>
      </c>
      <c r="Y19" s="1">
        <f>'11.'!N76</f>
        <v>15.5</v>
      </c>
      <c r="Z19" s="1">
        <f>'12.'!M76</f>
        <v>7</v>
      </c>
      <c r="AA19" s="1">
        <f>'12.'!N76</f>
        <v>7</v>
      </c>
      <c r="AB19" s="1">
        <f>'13.'!M76</f>
        <v>4.5</v>
      </c>
      <c r="AC19" s="1">
        <f>'13.'!N76</f>
        <v>4.5</v>
      </c>
      <c r="AD19" s="1">
        <f>'14.'!M76</f>
        <v>24</v>
      </c>
      <c r="AE19" s="1">
        <f>'14.'!N76</f>
        <v>24</v>
      </c>
      <c r="AF19" s="1">
        <f>'15.'!M76</f>
        <v>0</v>
      </c>
      <c r="AG19" s="1">
        <f>'15.'!N76</f>
        <v>0</v>
      </c>
      <c r="AH19" s="1">
        <f>'16.'!M76</f>
        <v>0</v>
      </c>
      <c r="AI19" s="1">
        <f>'16.'!N76</f>
        <v>0</v>
      </c>
      <c r="AJ19" s="1">
        <f>'17.'!M76</f>
        <v>0</v>
      </c>
      <c r="AK19" s="1">
        <f>'17.'!N76</f>
        <v>0</v>
      </c>
      <c r="AL19" s="1">
        <f>'18.'!M76</f>
        <v>28</v>
      </c>
      <c r="AM19" s="1">
        <f>'18.'!N76</f>
        <v>30</v>
      </c>
      <c r="AN19" s="1">
        <f>'19.'!M76</f>
        <v>0</v>
      </c>
      <c r="AO19" s="1">
        <f>'19.'!N76</f>
        <v>0</v>
      </c>
      <c r="AP19" s="1">
        <f>'20.'!M76</f>
        <v>0</v>
      </c>
      <c r="AQ19" s="1">
        <f>'20.'!N76</f>
        <v>0</v>
      </c>
    </row>
    <row r="20" spans="2:43">
      <c r="B20" s="27">
        <v>11</v>
      </c>
      <c r="C20" s="17" t="str">
        <f>'20.'!R77</f>
        <v>Thigh sf</v>
      </c>
      <c r="D20" s="1">
        <f>'3'!M77</f>
        <v>0</v>
      </c>
      <c r="E20" s="1">
        <f>'3'!N77</f>
        <v>0</v>
      </c>
      <c r="F20" s="1">
        <f>'1'!M77</f>
        <v>0</v>
      </c>
      <c r="G20" s="1">
        <f>'1'!N77</f>
        <v>0</v>
      </c>
      <c r="H20" s="1">
        <f>'4'!M77</f>
        <v>0</v>
      </c>
      <c r="I20" s="1">
        <f>'4'!N77</f>
        <v>0</v>
      </c>
      <c r="J20" s="1">
        <f>'5'!M77</f>
        <v>0</v>
      </c>
      <c r="K20" s="1">
        <f>'5'!N77</f>
        <v>0</v>
      </c>
      <c r="L20" s="1">
        <f>'6'!M77</f>
        <v>0</v>
      </c>
      <c r="M20" s="1">
        <f>'6'!N77</f>
        <v>0</v>
      </c>
      <c r="N20" s="1">
        <f>'7'!M77</f>
        <v>0</v>
      </c>
      <c r="O20" s="1">
        <f>'7'!N77</f>
        <v>0</v>
      </c>
      <c r="P20" s="1">
        <f>'7.'!M77</f>
        <v>9</v>
      </c>
      <c r="Q20" s="1">
        <f>'7.'!N77</f>
        <v>9</v>
      </c>
      <c r="R20" s="1">
        <f>'8.'!M77</f>
        <v>12</v>
      </c>
      <c r="S20" s="1">
        <f>'8.'!N77</f>
        <v>12</v>
      </c>
      <c r="T20" s="1">
        <f>'9.'!M77</f>
        <v>0</v>
      </c>
      <c r="U20" s="1">
        <f>'9.'!N77</f>
        <v>0</v>
      </c>
      <c r="V20" s="1">
        <f>'10.'!M77</f>
        <v>13</v>
      </c>
      <c r="W20" s="1">
        <f>'10.'!N77</f>
        <v>13</v>
      </c>
      <c r="X20" s="1">
        <f>'11.'!M77</f>
        <v>13.5</v>
      </c>
      <c r="Y20" s="1">
        <f>'11.'!N77</f>
        <v>13.5</v>
      </c>
      <c r="Z20" s="1">
        <f>'12.'!M77</f>
        <v>10</v>
      </c>
      <c r="AA20" s="1">
        <f>'12.'!N77</f>
        <v>10</v>
      </c>
      <c r="AB20" s="1">
        <f>'13.'!M77</f>
        <v>8</v>
      </c>
      <c r="AC20" s="1">
        <f>'13.'!N77</f>
        <v>8</v>
      </c>
      <c r="AD20" s="1">
        <f>'14.'!M77</f>
        <v>11</v>
      </c>
      <c r="AE20" s="1">
        <f>'14.'!N77</f>
        <v>11</v>
      </c>
      <c r="AF20" s="1">
        <f>'15.'!M77</f>
        <v>0</v>
      </c>
      <c r="AG20" s="1">
        <f>'15.'!N77</f>
        <v>0</v>
      </c>
      <c r="AH20" s="1">
        <f>'16.'!M77</f>
        <v>0</v>
      </c>
      <c r="AI20" s="1">
        <f>'16.'!N77</f>
        <v>0</v>
      </c>
      <c r="AJ20" s="1">
        <f>'17.'!M77</f>
        <v>0</v>
      </c>
      <c r="AK20" s="1">
        <f>'17.'!N77</f>
        <v>0</v>
      </c>
      <c r="AL20" s="1">
        <f>'18.'!M77</f>
        <v>10</v>
      </c>
      <c r="AM20" s="1">
        <f>'18.'!N77</f>
        <v>13</v>
      </c>
      <c r="AN20" s="1">
        <f>'19.'!M77</f>
        <v>0</v>
      </c>
      <c r="AO20" s="1">
        <f>'19.'!N77</f>
        <v>0</v>
      </c>
      <c r="AP20" s="1">
        <f>'20.'!M77</f>
        <v>0</v>
      </c>
      <c r="AQ20" s="1">
        <f>'20.'!N77</f>
        <v>0</v>
      </c>
    </row>
    <row r="21" spans="2:43">
      <c r="B21" s="27">
        <v>12</v>
      </c>
      <c r="C21" s="17" t="str">
        <f>'20.'!R78</f>
        <v>Calf sf</v>
      </c>
      <c r="D21" s="1">
        <f>'3'!M78</f>
        <v>0</v>
      </c>
      <c r="E21" s="1">
        <f>'3'!N78</f>
        <v>0</v>
      </c>
      <c r="F21" s="1">
        <f>'1'!M78</f>
        <v>0</v>
      </c>
      <c r="G21" s="1">
        <f>'1'!N78</f>
        <v>0</v>
      </c>
      <c r="H21" s="1">
        <f>'4'!M78</f>
        <v>0</v>
      </c>
      <c r="I21" s="1">
        <f>'4'!N78</f>
        <v>0</v>
      </c>
      <c r="J21" s="1">
        <f>'5'!M78</f>
        <v>0</v>
      </c>
      <c r="K21" s="1">
        <f>'5'!N78</f>
        <v>0</v>
      </c>
      <c r="L21" s="1">
        <f>'6'!M78</f>
        <v>0</v>
      </c>
      <c r="M21" s="1">
        <f>'6'!N78</f>
        <v>0</v>
      </c>
      <c r="N21" s="1">
        <f>'7'!M78</f>
        <v>0</v>
      </c>
      <c r="O21" s="1">
        <f>'7'!N78</f>
        <v>0</v>
      </c>
      <c r="P21" s="1">
        <f>'7.'!M78</f>
        <v>5.5</v>
      </c>
      <c r="Q21" s="1">
        <f>'7.'!N78</f>
        <v>5.5</v>
      </c>
      <c r="R21" s="1">
        <f>'8.'!M78</f>
        <v>5.5</v>
      </c>
      <c r="S21" s="1">
        <f>'8.'!N78</f>
        <v>5.5</v>
      </c>
      <c r="T21" s="1">
        <f>'9.'!M78</f>
        <v>0</v>
      </c>
      <c r="U21" s="1">
        <f>'9.'!N78</f>
        <v>0</v>
      </c>
      <c r="V21" s="1">
        <f>'10.'!M78</f>
        <v>6.5</v>
      </c>
      <c r="W21" s="1">
        <f>'10.'!N78</f>
        <v>6.5</v>
      </c>
      <c r="X21" s="1">
        <f>'11.'!M78</f>
        <v>6</v>
      </c>
      <c r="Y21" s="1">
        <f>'11.'!N78</f>
        <v>6</v>
      </c>
      <c r="Z21" s="1">
        <f>'12.'!M78</f>
        <v>7</v>
      </c>
      <c r="AA21" s="1">
        <f>'12.'!N78</f>
        <v>7</v>
      </c>
      <c r="AB21" s="1">
        <f>'13.'!M78</f>
        <v>5.5</v>
      </c>
      <c r="AC21" s="1">
        <f>'13.'!N78</f>
        <v>5.5</v>
      </c>
      <c r="AD21" s="1">
        <f>'14.'!M78</f>
        <v>5</v>
      </c>
      <c r="AE21" s="1">
        <f>'14.'!N78</f>
        <v>5</v>
      </c>
      <c r="AF21" s="1">
        <f>'15.'!M78</f>
        <v>0</v>
      </c>
      <c r="AG21" s="1">
        <f>'15.'!N78</f>
        <v>0</v>
      </c>
      <c r="AH21" s="1">
        <f>'16.'!M78</f>
        <v>0</v>
      </c>
      <c r="AI21" s="1">
        <f>'16.'!N78</f>
        <v>0</v>
      </c>
      <c r="AJ21" s="1">
        <f>'17.'!M78</f>
        <v>0</v>
      </c>
      <c r="AK21" s="1">
        <f>'17.'!N78</f>
        <v>0</v>
      </c>
      <c r="AL21" s="1">
        <f>'18.'!M78</f>
        <v>5</v>
      </c>
      <c r="AM21" s="1">
        <f>'18.'!N78</f>
        <v>7</v>
      </c>
      <c r="AN21" s="1">
        <f>'19.'!M78</f>
        <v>0</v>
      </c>
      <c r="AO21" s="1">
        <f>'19.'!N78</f>
        <v>0</v>
      </c>
      <c r="AP21" s="1">
        <f>'20.'!M78</f>
        <v>0</v>
      </c>
      <c r="AQ21" s="1">
        <f>'20.'!N78</f>
        <v>0</v>
      </c>
    </row>
    <row r="22" spans="2:43">
      <c r="B22" s="27">
        <v>13</v>
      </c>
      <c r="C22" s="17" t="str">
        <f>'20.'!R79</f>
        <v>Arm girth relaxed</v>
      </c>
      <c r="D22" s="1">
        <f>'3'!M79</f>
        <v>0</v>
      </c>
      <c r="E22" s="1">
        <f>'3'!N79</f>
        <v>0</v>
      </c>
      <c r="F22" s="1">
        <f>'1'!M79</f>
        <v>0</v>
      </c>
      <c r="G22" s="1">
        <f>'1'!N79</f>
        <v>0</v>
      </c>
      <c r="H22" s="1">
        <f>'4'!M79</f>
        <v>0</v>
      </c>
      <c r="I22" s="1">
        <f>'4'!N79</f>
        <v>0</v>
      </c>
      <c r="J22" s="1">
        <f>'5'!M79</f>
        <v>0</v>
      </c>
      <c r="K22" s="1">
        <f>'5'!N79</f>
        <v>0</v>
      </c>
      <c r="L22" s="1">
        <f>'6'!M79</f>
        <v>0</v>
      </c>
      <c r="M22" s="1">
        <f>'6'!N79</f>
        <v>0</v>
      </c>
      <c r="N22" s="1">
        <f>'7'!M79</f>
        <v>0</v>
      </c>
      <c r="O22" s="1">
        <f>'7'!N79</f>
        <v>0</v>
      </c>
      <c r="P22" s="1">
        <f>'7.'!M79</f>
        <v>34.799999999999997</v>
      </c>
      <c r="Q22" s="1">
        <f>'7.'!N79</f>
        <v>34.799999999999997</v>
      </c>
      <c r="R22" s="1">
        <f>'8.'!M79</f>
        <v>25</v>
      </c>
      <c r="S22" s="1">
        <f>'8.'!N79</f>
        <v>25</v>
      </c>
      <c r="T22" s="1">
        <f>'9.'!M79</f>
        <v>0</v>
      </c>
      <c r="U22" s="1">
        <f>'9.'!N79</f>
        <v>0</v>
      </c>
      <c r="V22" s="1">
        <f>'10.'!M79</f>
        <v>34.5</v>
      </c>
      <c r="W22" s="1">
        <f>'10.'!N79</f>
        <v>34.4</v>
      </c>
      <c r="X22" s="1">
        <f>'11.'!M79</f>
        <v>36.5</v>
      </c>
      <c r="Y22" s="1">
        <f>'11.'!N79</f>
        <v>36.5</v>
      </c>
      <c r="Z22" s="1">
        <f>'12.'!M79</f>
        <v>30.5</v>
      </c>
      <c r="AA22" s="1">
        <f>'12.'!N79</f>
        <v>30.5</v>
      </c>
      <c r="AB22" s="1">
        <f>'13.'!M79</f>
        <v>34</v>
      </c>
      <c r="AC22" s="1">
        <f>'13.'!N79</f>
        <v>34</v>
      </c>
      <c r="AD22" s="1">
        <f>'14.'!M79</f>
        <v>33.5</v>
      </c>
      <c r="AE22" s="1">
        <f>'14.'!N79</f>
        <v>33.5</v>
      </c>
      <c r="AF22" s="1">
        <f>'15.'!M79</f>
        <v>0</v>
      </c>
      <c r="AG22" s="1">
        <f>'15.'!N79</f>
        <v>0</v>
      </c>
      <c r="AH22" s="1">
        <f>'16.'!M79</f>
        <v>0</v>
      </c>
      <c r="AI22" s="1">
        <f>'16.'!N79</f>
        <v>0</v>
      </c>
      <c r="AJ22" s="1">
        <f>'17.'!M79</f>
        <v>0</v>
      </c>
      <c r="AK22" s="1">
        <f>'17.'!N79</f>
        <v>0</v>
      </c>
      <c r="AL22" s="1">
        <f>'18.'!M79</f>
        <v>36</v>
      </c>
      <c r="AM22" s="1">
        <f>'18.'!N79</f>
        <v>36.5</v>
      </c>
      <c r="AN22" s="1">
        <f>'19.'!M79</f>
        <v>0</v>
      </c>
      <c r="AO22" s="1">
        <f>'19.'!N79</f>
        <v>0</v>
      </c>
      <c r="AP22" s="1">
        <f>'20.'!M79</f>
        <v>0</v>
      </c>
      <c r="AQ22" s="1">
        <f>'20.'!N79</f>
        <v>0</v>
      </c>
    </row>
    <row r="23" spans="2:43">
      <c r="B23" s="27">
        <v>14</v>
      </c>
      <c r="C23" s="17" t="str">
        <f>'20.'!R80</f>
        <v>Arm girth flexed and tensed</v>
      </c>
      <c r="D23" s="1">
        <f>'3'!M80</f>
        <v>0</v>
      </c>
      <c r="E23" s="1">
        <f>'3'!N80</f>
        <v>0</v>
      </c>
      <c r="F23" s="1">
        <f>'1'!M80</f>
        <v>0</v>
      </c>
      <c r="G23" s="1">
        <f>'1'!N80</f>
        <v>0</v>
      </c>
      <c r="H23" s="1">
        <f>'4'!M80</f>
        <v>0</v>
      </c>
      <c r="I23" s="1">
        <f>'4'!N80</f>
        <v>0</v>
      </c>
      <c r="J23" s="1">
        <f>'5'!M80</f>
        <v>0</v>
      </c>
      <c r="K23" s="1">
        <f>'5'!N80</f>
        <v>0</v>
      </c>
      <c r="L23" s="1">
        <f>'6'!M80</f>
        <v>0</v>
      </c>
      <c r="M23" s="1">
        <f>'6'!N80</f>
        <v>0</v>
      </c>
      <c r="N23" s="1">
        <f>'7'!M80</f>
        <v>0</v>
      </c>
      <c r="O23" s="1">
        <f>'7'!N80</f>
        <v>0</v>
      </c>
      <c r="P23" s="1">
        <f>'7.'!M80</f>
        <v>38.299999999999997</v>
      </c>
      <c r="Q23" s="1">
        <f>'7.'!N80</f>
        <v>38.299999999999997</v>
      </c>
      <c r="R23" s="1">
        <f>'8.'!M80</f>
        <v>26.2</v>
      </c>
      <c r="S23" s="1">
        <f>'8.'!N80</f>
        <v>26.2</v>
      </c>
      <c r="T23" s="1">
        <f>'9.'!M80</f>
        <v>0</v>
      </c>
      <c r="U23" s="1">
        <f>'9.'!N80</f>
        <v>0</v>
      </c>
      <c r="V23" s="1">
        <f>'10.'!M80</f>
        <v>37.1</v>
      </c>
      <c r="W23" s="1">
        <f>'10.'!N80</f>
        <v>37.200000000000003</v>
      </c>
      <c r="X23" s="1">
        <f>'11.'!M80</f>
        <v>39.75</v>
      </c>
      <c r="Y23" s="1">
        <f>'11.'!N80</f>
        <v>39.799999999999997</v>
      </c>
      <c r="Z23" s="1">
        <f>'12.'!M80</f>
        <v>33</v>
      </c>
      <c r="AA23" s="1">
        <f>'12.'!N80</f>
        <v>33</v>
      </c>
      <c r="AB23" s="1">
        <f>'13.'!M80</f>
        <v>39</v>
      </c>
      <c r="AC23" s="1">
        <f>'13.'!N80</f>
        <v>39</v>
      </c>
      <c r="AD23" s="1">
        <f>'14.'!M80</f>
        <v>37.5</v>
      </c>
      <c r="AE23" s="1">
        <f>'14.'!N80</f>
        <v>37.5</v>
      </c>
      <c r="AF23" s="1">
        <f>'15.'!M80</f>
        <v>0</v>
      </c>
      <c r="AG23" s="1">
        <f>'15.'!N80</f>
        <v>0</v>
      </c>
      <c r="AH23" s="1">
        <f>'16.'!M80</f>
        <v>0</v>
      </c>
      <c r="AI23" s="1">
        <f>'16.'!N80</f>
        <v>0</v>
      </c>
      <c r="AJ23" s="1">
        <f>'17.'!M80</f>
        <v>0</v>
      </c>
      <c r="AK23" s="1">
        <f>'17.'!N80</f>
        <v>0</v>
      </c>
      <c r="AL23" s="1">
        <f>'18.'!M80</f>
        <v>39</v>
      </c>
      <c r="AM23" s="1">
        <f>'18.'!N80</f>
        <v>39</v>
      </c>
      <c r="AN23" s="1">
        <f>'19.'!M80</f>
        <v>0</v>
      </c>
      <c r="AO23" s="1">
        <f>'19.'!N80</f>
        <v>0</v>
      </c>
      <c r="AP23" s="1">
        <f>'20.'!M80</f>
        <v>0</v>
      </c>
      <c r="AQ23" s="1">
        <f>'20.'!N80</f>
        <v>0</v>
      </c>
    </row>
    <row r="24" spans="2:43">
      <c r="B24" s="27">
        <v>15</v>
      </c>
      <c r="C24" s="17" t="str">
        <f>'20.'!R81</f>
        <v>Waist girth</v>
      </c>
      <c r="D24" s="1">
        <f>'3'!M81</f>
        <v>0</v>
      </c>
      <c r="E24" s="1">
        <f>'3'!N81</f>
        <v>0</v>
      </c>
      <c r="F24" s="1">
        <f>'1'!M81</f>
        <v>0</v>
      </c>
      <c r="G24" s="1">
        <f>'1'!N81</f>
        <v>0</v>
      </c>
      <c r="H24" s="1">
        <f>'4'!M81</f>
        <v>0</v>
      </c>
      <c r="I24" s="1">
        <f>'4'!N81</f>
        <v>0</v>
      </c>
      <c r="J24" s="1">
        <f>'5'!M81</f>
        <v>0</v>
      </c>
      <c r="K24" s="1">
        <f>'5'!N81</f>
        <v>0</v>
      </c>
      <c r="L24" s="1">
        <f>'6'!M81</f>
        <v>0</v>
      </c>
      <c r="M24" s="1">
        <f>'6'!N81</f>
        <v>0</v>
      </c>
      <c r="N24" s="1">
        <f>'7'!M81</f>
        <v>0</v>
      </c>
      <c r="O24" s="1">
        <f>'7'!N81</f>
        <v>0</v>
      </c>
      <c r="P24" s="1">
        <f>'7.'!M81</f>
        <v>77.5</v>
      </c>
      <c r="Q24" s="1">
        <f>'7.'!N81</f>
        <v>77.5</v>
      </c>
      <c r="R24" s="1">
        <f>'8.'!M81</f>
        <v>64.5</v>
      </c>
      <c r="S24" s="1">
        <f>'8.'!N81</f>
        <v>64.5</v>
      </c>
      <c r="T24" s="1">
        <f>'9.'!M81</f>
        <v>0</v>
      </c>
      <c r="U24" s="1">
        <f>'9.'!N81</f>
        <v>0</v>
      </c>
      <c r="V24" s="1">
        <f>'10.'!M81</f>
        <v>76</v>
      </c>
      <c r="W24" s="1">
        <f>'10.'!N81</f>
        <v>76</v>
      </c>
      <c r="X24" s="1">
        <f>'11.'!M81</f>
        <v>80.5</v>
      </c>
      <c r="Y24" s="1">
        <f>'11.'!N81</f>
        <v>80.5</v>
      </c>
      <c r="Z24" s="1">
        <f>'12.'!M81</f>
        <v>78</v>
      </c>
      <c r="AA24" s="1">
        <f>'12.'!N81</f>
        <v>78</v>
      </c>
      <c r="AB24" s="1">
        <f>'13.'!M81</f>
        <v>78.7</v>
      </c>
      <c r="AC24" s="1">
        <f>'13.'!N81</f>
        <v>78.8</v>
      </c>
      <c r="AD24" s="1">
        <f>'14.'!M81</f>
        <v>83</v>
      </c>
      <c r="AE24" s="1">
        <f>'14.'!N81</f>
        <v>83</v>
      </c>
      <c r="AF24" s="1">
        <f>'15.'!M81</f>
        <v>0</v>
      </c>
      <c r="AG24" s="1">
        <f>'15.'!N81</f>
        <v>0</v>
      </c>
      <c r="AH24" s="1">
        <f>'16.'!M81</f>
        <v>0</v>
      </c>
      <c r="AI24" s="1">
        <f>'16.'!N81</f>
        <v>0</v>
      </c>
      <c r="AJ24" s="1">
        <f>'17.'!M81</f>
        <v>0</v>
      </c>
      <c r="AK24" s="1">
        <f>'17.'!N81</f>
        <v>0</v>
      </c>
      <c r="AL24" s="1">
        <f>'18.'!M81</f>
        <v>81</v>
      </c>
      <c r="AM24" s="1">
        <f>'18.'!N81</f>
        <v>82</v>
      </c>
      <c r="AN24" s="1">
        <f>'19.'!M81</f>
        <v>0</v>
      </c>
      <c r="AO24" s="1">
        <f>'19.'!N81</f>
        <v>0</v>
      </c>
      <c r="AP24" s="1">
        <f>'20.'!M81</f>
        <v>66</v>
      </c>
      <c r="AQ24" s="1">
        <f>'20.'!N81</f>
        <v>66</v>
      </c>
    </row>
    <row r="25" spans="2:43">
      <c r="B25" s="27">
        <v>16</v>
      </c>
      <c r="C25" s="17" t="str">
        <f>'20.'!R82</f>
        <v>Hips girth</v>
      </c>
      <c r="D25" s="1">
        <f>'3'!M82</f>
        <v>0</v>
      </c>
      <c r="E25" s="1">
        <f>'3'!N82</f>
        <v>0</v>
      </c>
      <c r="F25" s="1">
        <f>'1'!M82</f>
        <v>0</v>
      </c>
      <c r="G25" s="1">
        <f>'1'!N82</f>
        <v>0</v>
      </c>
      <c r="H25" s="1">
        <f>'4'!M82</f>
        <v>0</v>
      </c>
      <c r="I25" s="1">
        <f>'4'!N82</f>
        <v>0</v>
      </c>
      <c r="J25" s="1">
        <f>'5'!M82</f>
        <v>0</v>
      </c>
      <c r="K25" s="1">
        <f>'5'!N82</f>
        <v>0</v>
      </c>
      <c r="L25" s="1">
        <f>'6'!M82</f>
        <v>0</v>
      </c>
      <c r="M25" s="1">
        <f>'6'!N82</f>
        <v>0</v>
      </c>
      <c r="N25" s="1">
        <f>'7'!M82</f>
        <v>0</v>
      </c>
      <c r="O25" s="1">
        <f>'7'!N82</f>
        <v>0</v>
      </c>
      <c r="P25" s="1">
        <f>'7.'!M82</f>
        <v>93</v>
      </c>
      <c r="Q25" s="1">
        <f>'7.'!N82</f>
        <v>93</v>
      </c>
      <c r="R25" s="1">
        <f>'8.'!M82</f>
        <v>91</v>
      </c>
      <c r="S25" s="1">
        <f>'8.'!N82</f>
        <v>91.1</v>
      </c>
      <c r="T25" s="1">
        <f>'9.'!M82</f>
        <v>0</v>
      </c>
      <c r="U25" s="1">
        <f>'9.'!N82</f>
        <v>0</v>
      </c>
      <c r="V25" s="1">
        <f>'10.'!M82</f>
        <v>90.2</v>
      </c>
      <c r="W25" s="1">
        <f>'10.'!N82</f>
        <v>90.2</v>
      </c>
      <c r="X25" s="1">
        <f>'11.'!M82</f>
        <v>98.5</v>
      </c>
      <c r="Y25" s="1">
        <f>'11.'!N82</f>
        <v>98.6</v>
      </c>
      <c r="Z25" s="1">
        <f>'12.'!M82</f>
        <v>91.5</v>
      </c>
      <c r="AA25" s="1">
        <f>'12.'!N82</f>
        <v>91.5</v>
      </c>
      <c r="AB25" s="1">
        <f>'13.'!M82</f>
        <v>95</v>
      </c>
      <c r="AC25" s="1">
        <f>'13.'!N82</f>
        <v>95</v>
      </c>
      <c r="AD25" s="1">
        <f>'14.'!M82</f>
        <v>91.5</v>
      </c>
      <c r="AE25" s="1">
        <f>'14.'!N82</f>
        <v>91.5</v>
      </c>
      <c r="AF25" s="1">
        <f>'15.'!M82</f>
        <v>0</v>
      </c>
      <c r="AG25" s="1">
        <f>'15.'!N82</f>
        <v>0</v>
      </c>
      <c r="AH25" s="1">
        <f>'16.'!M82</f>
        <v>0</v>
      </c>
      <c r="AI25" s="1">
        <f>'16.'!N82</f>
        <v>0</v>
      </c>
      <c r="AJ25" s="1">
        <f>'17.'!M82</f>
        <v>0</v>
      </c>
      <c r="AK25" s="1">
        <f>'17.'!N82</f>
        <v>0</v>
      </c>
      <c r="AL25" s="1">
        <f>'18.'!M82</f>
        <v>94.5</v>
      </c>
      <c r="AM25" s="1">
        <f>'18.'!N82</f>
        <v>96</v>
      </c>
      <c r="AN25" s="1">
        <f>'19.'!M82</f>
        <v>0</v>
      </c>
      <c r="AO25" s="1">
        <f>'19.'!N82</f>
        <v>0</v>
      </c>
      <c r="AP25" s="1">
        <f>'20.'!M82</f>
        <v>90.5</v>
      </c>
      <c r="AQ25" s="1">
        <f>'20.'!N82</f>
        <v>92</v>
      </c>
    </row>
    <row r="26" spans="2:43">
      <c r="B26" s="27">
        <v>17</v>
      </c>
      <c r="C26" s="17" t="str">
        <f>'20.'!R83</f>
        <v>Thigh middle girth</v>
      </c>
      <c r="D26" s="1">
        <f>'3'!M83</f>
        <v>0</v>
      </c>
      <c r="E26" s="1">
        <f>'3'!N83</f>
        <v>0</v>
      </c>
      <c r="F26" s="1">
        <f>'1'!M83</f>
        <v>0</v>
      </c>
      <c r="G26" s="1">
        <f>'1'!N83</f>
        <v>0</v>
      </c>
      <c r="H26" s="1">
        <f>'4'!M83</f>
        <v>0</v>
      </c>
      <c r="I26" s="1">
        <f>'4'!N83</f>
        <v>0</v>
      </c>
      <c r="J26" s="1">
        <f>'5'!M83</f>
        <v>0</v>
      </c>
      <c r="K26" s="1">
        <f>'5'!N83</f>
        <v>0</v>
      </c>
      <c r="L26" s="1">
        <f>'6'!M83</f>
        <v>0</v>
      </c>
      <c r="M26" s="1">
        <f>'6'!N83</f>
        <v>0</v>
      </c>
      <c r="N26" s="1">
        <f>'7'!M83</f>
        <v>0</v>
      </c>
      <c r="O26" s="1">
        <f>'7'!N83</f>
        <v>0</v>
      </c>
      <c r="P26" s="1">
        <f>'7.'!M83</f>
        <v>53</v>
      </c>
      <c r="Q26" s="1">
        <f>'7.'!N83</f>
        <v>53</v>
      </c>
      <c r="R26" s="1">
        <f>'8.'!M83</f>
        <v>45.5</v>
      </c>
      <c r="S26" s="1">
        <f>'8.'!N83</f>
        <v>45.5</v>
      </c>
      <c r="T26" s="1">
        <f>'9.'!M83</f>
        <v>0</v>
      </c>
      <c r="U26" s="1">
        <f>'9.'!N83</f>
        <v>0</v>
      </c>
      <c r="V26" s="1">
        <f>'10.'!M83</f>
        <v>52</v>
      </c>
      <c r="W26" s="1">
        <f>'10.'!N83</f>
        <v>52</v>
      </c>
      <c r="X26" s="1">
        <f>'11.'!M83</f>
        <v>59.5</v>
      </c>
      <c r="Y26" s="1">
        <f>'11.'!N83</f>
        <v>59.5</v>
      </c>
      <c r="Z26" s="1">
        <f>'12.'!M83</f>
        <v>49</v>
      </c>
      <c r="AA26" s="1">
        <f>'12.'!N83</f>
        <v>49</v>
      </c>
      <c r="AB26" s="1">
        <f>'13.'!M83</f>
        <v>55</v>
      </c>
      <c r="AC26" s="1">
        <f>'13.'!N83</f>
        <v>55.1</v>
      </c>
      <c r="AD26" s="1">
        <f>'14.'!M83</f>
        <v>50.5</v>
      </c>
      <c r="AE26" s="1">
        <f>'14.'!N83</f>
        <v>50.5</v>
      </c>
      <c r="AF26" s="1">
        <f>'15.'!M83</f>
        <v>0</v>
      </c>
      <c r="AG26" s="1">
        <f>'15.'!N83</f>
        <v>0</v>
      </c>
      <c r="AH26" s="1">
        <f>'16.'!M83</f>
        <v>0</v>
      </c>
      <c r="AI26" s="1">
        <f>'16.'!N83</f>
        <v>0</v>
      </c>
      <c r="AJ26" s="1">
        <f>'17.'!M83</f>
        <v>0</v>
      </c>
      <c r="AK26" s="1">
        <f>'17.'!N83</f>
        <v>0</v>
      </c>
      <c r="AL26" s="1">
        <f>'18.'!M83</f>
        <v>55.5</v>
      </c>
      <c r="AM26" s="1">
        <f>'18.'!N83</f>
        <v>57</v>
      </c>
      <c r="AN26" s="1">
        <f>'19.'!M83</f>
        <v>0</v>
      </c>
      <c r="AO26" s="1">
        <f>'19.'!N83</f>
        <v>0</v>
      </c>
      <c r="AP26" s="1">
        <f>'20.'!M83</f>
        <v>0</v>
      </c>
      <c r="AQ26" s="1">
        <f>'20.'!N83</f>
        <v>0</v>
      </c>
    </row>
    <row r="27" spans="2:43">
      <c r="B27" s="27">
        <v>18</v>
      </c>
      <c r="C27" s="17" t="str">
        <f>'20.'!R84</f>
        <v>Calf girth</v>
      </c>
      <c r="D27" s="1">
        <f>'3'!M84</f>
        <v>0</v>
      </c>
      <c r="E27" s="1">
        <f>'3'!N84</f>
        <v>0</v>
      </c>
      <c r="F27" s="1">
        <f>'1'!M84</f>
        <v>0</v>
      </c>
      <c r="G27" s="1">
        <f>'1'!N84</f>
        <v>0</v>
      </c>
      <c r="H27" s="1">
        <f>'4'!M84</f>
        <v>0</v>
      </c>
      <c r="I27" s="1">
        <f>'4'!N84</f>
        <v>0</v>
      </c>
      <c r="J27" s="1">
        <f>'5'!M84</f>
        <v>0</v>
      </c>
      <c r="K27" s="1">
        <f>'5'!N84</f>
        <v>0</v>
      </c>
      <c r="L27" s="1">
        <f>'6'!M84</f>
        <v>0</v>
      </c>
      <c r="M27" s="1">
        <f>'6'!N84</f>
        <v>0</v>
      </c>
      <c r="N27" s="1">
        <f>'7'!M84</f>
        <v>0</v>
      </c>
      <c r="O27" s="1">
        <f>'7'!N84</f>
        <v>0</v>
      </c>
      <c r="P27" s="1">
        <f>'7.'!M84</f>
        <v>37</v>
      </c>
      <c r="Q27" s="1">
        <f>'7.'!N84</f>
        <v>37</v>
      </c>
      <c r="R27" s="1">
        <f>'8.'!M84</f>
        <v>32.5</v>
      </c>
      <c r="S27" s="1">
        <f>'8.'!N84</f>
        <v>32.5</v>
      </c>
      <c r="T27" s="1">
        <f>'9.'!M84</f>
        <v>0</v>
      </c>
      <c r="U27" s="1">
        <f>'9.'!N84</f>
        <v>0</v>
      </c>
      <c r="V27" s="1">
        <f>'10.'!M84</f>
        <v>35.5</v>
      </c>
      <c r="W27" s="1">
        <f>'10.'!N84</f>
        <v>35.5</v>
      </c>
      <c r="X27" s="1">
        <f>'11.'!M84</f>
        <v>38.5</v>
      </c>
      <c r="Y27" s="1">
        <f>'11.'!N84</f>
        <v>38.5</v>
      </c>
      <c r="Z27" s="1">
        <f>'12.'!M84</f>
        <v>34</v>
      </c>
      <c r="AA27" s="1">
        <f>'12.'!N84</f>
        <v>34</v>
      </c>
      <c r="AB27" s="1">
        <f>'13.'!M84</f>
        <v>36</v>
      </c>
      <c r="AC27" s="1">
        <f>'13.'!N84</f>
        <v>36</v>
      </c>
      <c r="AD27" s="1">
        <f>'14.'!M84</f>
        <v>34</v>
      </c>
      <c r="AE27" s="1">
        <f>'14.'!N84</f>
        <v>34</v>
      </c>
      <c r="AF27" s="1">
        <f>'15.'!M84</f>
        <v>0</v>
      </c>
      <c r="AG27" s="1">
        <f>'15.'!N84</f>
        <v>0</v>
      </c>
      <c r="AH27" s="1">
        <f>'16.'!M84</f>
        <v>0</v>
      </c>
      <c r="AI27" s="1">
        <f>'16.'!N84</f>
        <v>0</v>
      </c>
      <c r="AJ27" s="1">
        <f>'17.'!M84</f>
        <v>0</v>
      </c>
      <c r="AK27" s="1">
        <f>'17.'!N84</f>
        <v>0</v>
      </c>
      <c r="AL27" s="1">
        <f>'18.'!M84</f>
        <v>36</v>
      </c>
      <c r="AM27" s="1">
        <f>'18.'!N84</f>
        <v>36.5</v>
      </c>
      <c r="AN27" s="1">
        <f>'19.'!M84</f>
        <v>0</v>
      </c>
      <c r="AO27" s="1">
        <f>'19.'!N84</f>
        <v>0</v>
      </c>
      <c r="AP27" s="1">
        <f>'20.'!M84</f>
        <v>0</v>
      </c>
      <c r="AQ27" s="1">
        <f>'20.'!N84</f>
        <v>0</v>
      </c>
    </row>
    <row r="28" spans="2:43">
      <c r="B28" s="27">
        <v>19</v>
      </c>
      <c r="C28" s="17" t="str">
        <f>'20.'!R85</f>
        <v>Humerus breadth</v>
      </c>
      <c r="D28" s="1">
        <f>'3'!M85</f>
        <v>0</v>
      </c>
      <c r="E28" s="1">
        <f>'3'!N85</f>
        <v>0</v>
      </c>
      <c r="F28" s="1">
        <f>'1'!M85</f>
        <v>0</v>
      </c>
      <c r="G28" s="1">
        <f>'1'!N85</f>
        <v>0</v>
      </c>
      <c r="H28" s="1">
        <f>'4'!M85</f>
        <v>0</v>
      </c>
      <c r="I28" s="1">
        <f>'4'!N85</f>
        <v>0</v>
      </c>
      <c r="J28" s="1">
        <f>'5'!M85</f>
        <v>0</v>
      </c>
      <c r="K28" s="1">
        <f>'5'!N85</f>
        <v>0</v>
      </c>
      <c r="L28" s="1">
        <f>'6'!M85</f>
        <v>0</v>
      </c>
      <c r="M28" s="1">
        <f>'6'!N85</f>
        <v>0</v>
      </c>
      <c r="N28" s="1">
        <f>'7'!M85</f>
        <v>0</v>
      </c>
      <c r="O28" s="1">
        <f>'7'!N85</f>
        <v>0</v>
      </c>
      <c r="P28" s="1">
        <f>'7.'!M85</f>
        <v>7.1</v>
      </c>
      <c r="Q28" s="1">
        <f>'7.'!N85</f>
        <v>7.1</v>
      </c>
      <c r="R28" s="1">
        <f>'8.'!M85</f>
        <v>6</v>
      </c>
      <c r="S28" s="1">
        <f>'8.'!N85</f>
        <v>6</v>
      </c>
      <c r="T28" s="1">
        <f>'9.'!M85</f>
        <v>0</v>
      </c>
      <c r="U28" s="1">
        <f>'9.'!N85</f>
        <v>0</v>
      </c>
      <c r="V28" s="1">
        <f>'10.'!M85</f>
        <v>6.9</v>
      </c>
      <c r="W28" s="1">
        <f>'10.'!N85</f>
        <v>6.9</v>
      </c>
      <c r="X28" s="1">
        <f>'11.'!M85</f>
        <v>7.2</v>
      </c>
      <c r="Y28" s="1">
        <f>'11.'!N85</f>
        <v>7.2</v>
      </c>
      <c r="Z28" s="1">
        <f>'12.'!M85</f>
        <v>6.6</v>
      </c>
      <c r="AA28" s="1">
        <f>'12.'!N85</f>
        <v>6.6</v>
      </c>
      <c r="AB28" s="1">
        <f>'13.'!M85</f>
        <v>7.2</v>
      </c>
      <c r="AC28" s="1">
        <f>'13.'!N85</f>
        <v>7.2</v>
      </c>
      <c r="AD28" s="1">
        <f>'14.'!M85</f>
        <v>6.7</v>
      </c>
      <c r="AE28" s="1">
        <f>'14.'!N85</f>
        <v>6.7</v>
      </c>
      <c r="AF28" s="1">
        <f>'15.'!M85</f>
        <v>0</v>
      </c>
      <c r="AG28" s="1">
        <f>'15.'!N85</f>
        <v>0</v>
      </c>
      <c r="AH28" s="1">
        <f>'16.'!M85</f>
        <v>0</v>
      </c>
      <c r="AI28" s="1">
        <f>'16.'!N85</f>
        <v>0</v>
      </c>
      <c r="AJ28" s="1">
        <f>'17.'!M85</f>
        <v>0</v>
      </c>
      <c r="AK28" s="1">
        <f>'17.'!N85</f>
        <v>0</v>
      </c>
      <c r="AL28" s="1">
        <f>'18.'!M85</f>
        <v>0</v>
      </c>
      <c r="AM28" s="1">
        <f>'18.'!N85</f>
        <v>0</v>
      </c>
      <c r="AN28" s="1">
        <f>'19.'!M85</f>
        <v>0</v>
      </c>
      <c r="AO28" s="1">
        <f>'19.'!N85</f>
        <v>0</v>
      </c>
      <c r="AP28" s="1">
        <f>'20.'!M85</f>
        <v>0</v>
      </c>
      <c r="AQ28" s="1">
        <f>'20.'!N85</f>
        <v>0</v>
      </c>
    </row>
    <row r="29" spans="2:43">
      <c r="B29" s="27">
        <v>20</v>
      </c>
      <c r="C29" s="17" t="str">
        <f>'20.'!R86</f>
        <v>Bi-styloid breadth</v>
      </c>
      <c r="D29" s="1">
        <f>'3'!M86</f>
        <v>0</v>
      </c>
      <c r="E29" s="1">
        <f>'3'!N86</f>
        <v>0</v>
      </c>
      <c r="F29" s="1">
        <f>'1'!M86</f>
        <v>0</v>
      </c>
      <c r="G29" s="1">
        <f>'1'!N86</f>
        <v>0</v>
      </c>
      <c r="H29" s="1">
        <f>'4'!M86</f>
        <v>0</v>
      </c>
      <c r="I29" s="1">
        <f>'4'!N86</f>
        <v>0</v>
      </c>
      <c r="J29" s="1">
        <f>'5'!M86</f>
        <v>0</v>
      </c>
      <c r="K29" s="1">
        <f>'5'!N86</f>
        <v>0</v>
      </c>
      <c r="L29" s="1">
        <f>'6'!M86</f>
        <v>0</v>
      </c>
      <c r="M29" s="1">
        <f>'6'!N86</f>
        <v>0</v>
      </c>
      <c r="N29" s="1">
        <f>'7'!M86</f>
        <v>0</v>
      </c>
      <c r="O29" s="1">
        <f>'7'!N86</f>
        <v>0</v>
      </c>
      <c r="P29" s="1">
        <f>'7.'!M86</f>
        <v>5.8</v>
      </c>
      <c r="Q29" s="1">
        <f>'7.'!N86</f>
        <v>5.8</v>
      </c>
      <c r="R29" s="1">
        <f>'8.'!M86</f>
        <v>4.8</v>
      </c>
      <c r="S29" s="1">
        <f>'8.'!N86</f>
        <v>4.8</v>
      </c>
      <c r="T29" s="1">
        <f>'9.'!M86</f>
        <v>0</v>
      </c>
      <c r="U29" s="1">
        <f>'9.'!N86</f>
        <v>0</v>
      </c>
      <c r="V29" s="1">
        <f>'10.'!M86</f>
        <v>5.7</v>
      </c>
      <c r="W29" s="1">
        <f>'10.'!N86</f>
        <v>5.7</v>
      </c>
      <c r="X29" s="1">
        <f>'11.'!M86</f>
        <v>5.5</v>
      </c>
      <c r="Y29" s="1">
        <f>'11.'!N86</f>
        <v>5.5</v>
      </c>
      <c r="Z29" s="1">
        <f>'12.'!M86</f>
        <v>6</v>
      </c>
      <c r="AA29" s="1">
        <f>'12.'!N86</f>
        <v>6</v>
      </c>
      <c r="AB29" s="1">
        <f>'13.'!M86</f>
        <v>6.5</v>
      </c>
      <c r="AC29" s="1">
        <f>'13.'!N86</f>
        <v>6.5</v>
      </c>
      <c r="AD29" s="1">
        <f>'14.'!M86</f>
        <v>5.2</v>
      </c>
      <c r="AE29" s="1">
        <f>'14.'!N86</f>
        <v>5.2</v>
      </c>
      <c r="AF29" s="1">
        <f>'15.'!M86</f>
        <v>0</v>
      </c>
      <c r="AG29" s="1">
        <f>'15.'!N86</f>
        <v>0</v>
      </c>
      <c r="AH29" s="1">
        <f>'16.'!M86</f>
        <v>0</v>
      </c>
      <c r="AI29" s="1">
        <f>'16.'!N86</f>
        <v>0</v>
      </c>
      <c r="AJ29" s="1">
        <f>'17.'!M86</f>
        <v>0</v>
      </c>
      <c r="AK29" s="1">
        <f>'17.'!N86</f>
        <v>0</v>
      </c>
      <c r="AL29" s="1">
        <f>'18.'!M86</f>
        <v>0</v>
      </c>
      <c r="AM29" s="1">
        <f>'18.'!N86</f>
        <v>0</v>
      </c>
      <c r="AN29" s="1">
        <f>'19.'!M86</f>
        <v>0</v>
      </c>
      <c r="AO29" s="1">
        <f>'19.'!N86</f>
        <v>0</v>
      </c>
      <c r="AP29" s="1">
        <f>'20.'!M86</f>
        <v>0</v>
      </c>
      <c r="AQ29" s="1">
        <f>'20.'!N86</f>
        <v>0</v>
      </c>
    </row>
    <row r="30" spans="2:43">
      <c r="B30" s="27">
        <v>21</v>
      </c>
      <c r="C30" s="17" t="str">
        <f>'20.'!R87</f>
        <v>Femur breadth</v>
      </c>
      <c r="D30" s="1">
        <f>'3'!M87</f>
        <v>0</v>
      </c>
      <c r="E30" s="1">
        <f>'3'!N87</f>
        <v>0</v>
      </c>
      <c r="F30" s="1">
        <f>'1'!M87</f>
        <v>0</v>
      </c>
      <c r="G30" s="1">
        <f>'1'!N87</f>
        <v>0</v>
      </c>
      <c r="H30" s="1">
        <f>'4'!M87</f>
        <v>0</v>
      </c>
      <c r="I30" s="1">
        <f>'4'!N87</f>
        <v>0</v>
      </c>
      <c r="J30" s="1">
        <f>'5'!M87</f>
        <v>0</v>
      </c>
      <c r="K30" s="1">
        <f>'5'!N87</f>
        <v>0</v>
      </c>
      <c r="L30" s="1">
        <f>'6'!M87</f>
        <v>0</v>
      </c>
      <c r="M30" s="1">
        <f>'6'!N87</f>
        <v>0</v>
      </c>
      <c r="N30" s="1">
        <f>'7'!M87</f>
        <v>0</v>
      </c>
      <c r="O30" s="1">
        <f>'7'!N87</f>
        <v>0</v>
      </c>
      <c r="P30" s="1">
        <f>'7.'!M87</f>
        <v>10.199999999999999</v>
      </c>
      <c r="Q30" s="1">
        <f>'7.'!N87</f>
        <v>10.199999999999999</v>
      </c>
      <c r="R30" s="1">
        <f>'8.'!M87</f>
        <v>9.3000000000000007</v>
      </c>
      <c r="S30" s="1">
        <f>'8.'!N87</f>
        <v>9.3000000000000007</v>
      </c>
      <c r="T30" s="1">
        <f>'9.'!M87</f>
        <v>0</v>
      </c>
      <c r="U30" s="1">
        <f>'9.'!N87</f>
        <v>0</v>
      </c>
      <c r="V30" s="1">
        <f>'10.'!M87</f>
        <v>10</v>
      </c>
      <c r="W30" s="1">
        <f>'10.'!N87</f>
        <v>10</v>
      </c>
      <c r="X30" s="1">
        <f>'11.'!M87</f>
        <v>9.6</v>
      </c>
      <c r="Y30" s="1">
        <f>'11.'!N87</f>
        <v>9.6</v>
      </c>
      <c r="Z30" s="1">
        <f>'12.'!M87</f>
        <v>9.6999999999999993</v>
      </c>
      <c r="AA30" s="1">
        <f>'12.'!N87</f>
        <v>9.6999999999999993</v>
      </c>
      <c r="AB30" s="1">
        <f>'13.'!M87</f>
        <v>10.5</v>
      </c>
      <c r="AC30" s="1">
        <f>'13.'!N87</f>
        <v>10.5</v>
      </c>
      <c r="AD30" s="1">
        <f>'14.'!M87</f>
        <v>9</v>
      </c>
      <c r="AE30" s="1">
        <f>'14.'!N87</f>
        <v>9</v>
      </c>
      <c r="AF30" s="1">
        <f>'15.'!M87</f>
        <v>0</v>
      </c>
      <c r="AG30" s="1">
        <f>'15.'!N87</f>
        <v>0</v>
      </c>
      <c r="AH30" s="1">
        <f>'16.'!M87</f>
        <v>0</v>
      </c>
      <c r="AI30" s="1">
        <f>'16.'!N87</f>
        <v>0</v>
      </c>
      <c r="AJ30" s="1">
        <f>'17.'!M87</f>
        <v>0</v>
      </c>
      <c r="AK30" s="1">
        <f>'17.'!N87</f>
        <v>0</v>
      </c>
      <c r="AL30" s="1">
        <f>'18.'!M87</f>
        <v>0</v>
      </c>
      <c r="AM30" s="1">
        <f>'18.'!N87</f>
        <v>0</v>
      </c>
      <c r="AN30" s="1">
        <f>'19.'!M87</f>
        <v>0</v>
      </c>
      <c r="AO30" s="1">
        <f>'19.'!N87</f>
        <v>0</v>
      </c>
      <c r="AP30" s="1">
        <f>'20.'!M87</f>
        <v>0</v>
      </c>
      <c r="AQ30" s="1">
        <f>'20.'!N87</f>
        <v>0</v>
      </c>
    </row>
  </sheetData>
  <sheetProtection password="DD13" sheet="1" objects="1" scenarios="1"/>
  <mergeCells count="20">
    <mergeCell ref="Z7:AA7"/>
    <mergeCell ref="D7:E7"/>
    <mergeCell ref="F7:G7"/>
    <mergeCell ref="H7:I7"/>
    <mergeCell ref="J7:K7"/>
    <mergeCell ref="L7:M7"/>
    <mergeCell ref="N7:O7"/>
    <mergeCell ref="P7:Q7"/>
    <mergeCell ref="R7:S7"/>
    <mergeCell ref="T7:U7"/>
    <mergeCell ref="V7:W7"/>
    <mergeCell ref="X7:Y7"/>
    <mergeCell ref="AN7:AO7"/>
    <mergeCell ref="AP7:AQ7"/>
    <mergeCell ref="AB7:AC7"/>
    <mergeCell ref="AD7:AE7"/>
    <mergeCell ref="AF7:AG7"/>
    <mergeCell ref="AH7:AI7"/>
    <mergeCell ref="AJ7:AK7"/>
    <mergeCell ref="AL7:AM7"/>
  </mergeCells>
  <phoneticPr fontId="9" type="noConversion"/>
  <pageMargins left="0" right="0" top="1" bottom="1" header="0.5" footer="0.5"/>
  <pageSetup paperSize="9"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7"/>
  <dimension ref="B3:AE30"/>
  <sheetViews>
    <sheetView topLeftCell="K4" workbookViewId="0">
      <selection activeCell="B5" sqref="B5"/>
    </sheetView>
  </sheetViews>
  <sheetFormatPr baseColWidth="10" defaultColWidth="9.109375" defaultRowHeight="13.2"/>
  <cols>
    <col min="1" max="1" width="2.109375" style="2" customWidth="1"/>
    <col min="2" max="2" width="4.33203125" style="2" customWidth="1"/>
    <col min="3" max="3" width="27.44140625" style="2" bestFit="1" customWidth="1"/>
    <col min="4" max="23" width="9.109375" style="3" customWidth="1"/>
    <col min="24" max="24" width="2.33203125" style="3" customWidth="1"/>
    <col min="25" max="27" width="9.109375" style="2" customWidth="1"/>
    <col min="28" max="28" width="2" style="2" customWidth="1"/>
    <col min="29" max="16384" width="9.109375" style="2"/>
  </cols>
  <sheetData>
    <row r="3" spans="2:31" ht="13.8" thickBot="1"/>
    <row r="4" spans="2:31" ht="15" thickTop="1" thickBot="1">
      <c r="B4" s="54" t="str">
        <f>IF(Info!D34=1,"SUM OF MEASURES","SUMA DE  MEDIDAS")</f>
        <v>SUM OF MEASURES</v>
      </c>
      <c r="C4" s="9"/>
      <c r="D4" s="10"/>
      <c r="E4" s="10"/>
      <c r="F4" s="10"/>
      <c r="G4" s="10"/>
      <c r="H4" s="10"/>
      <c r="I4" s="10"/>
      <c r="J4" s="10"/>
      <c r="K4" s="10"/>
      <c r="L4" s="10"/>
      <c r="M4" s="10"/>
      <c r="N4" s="10"/>
      <c r="O4" s="10"/>
      <c r="P4" s="10"/>
      <c r="Q4" s="10"/>
      <c r="R4" s="10"/>
      <c r="S4" s="10"/>
      <c r="T4" s="10"/>
      <c r="U4" s="10"/>
      <c r="V4" s="10"/>
      <c r="W4" s="10"/>
      <c r="X4" s="10"/>
      <c r="Y4" s="9"/>
      <c r="Z4" s="9"/>
      <c r="AA4" s="9"/>
      <c r="AB4" s="9"/>
      <c r="AC4" s="9"/>
      <c r="AD4" s="9"/>
      <c r="AE4" s="9"/>
    </row>
    <row r="5" spans="2:31" ht="13.8" thickTop="1"/>
    <row r="6" spans="2:31" ht="13.8" thickBot="1"/>
    <row r="7" spans="2:31" s="6" customFormat="1" ht="13.8" thickTop="1">
      <c r="B7" s="5"/>
      <c r="C7" s="96" t="str">
        <f>'Measures-Medidas'!C7</f>
        <v>Sites for restricted profile</v>
      </c>
      <c r="D7" s="12" t="s">
        <v>0</v>
      </c>
      <c r="E7" s="12" t="s">
        <v>1</v>
      </c>
      <c r="F7" s="12" t="s">
        <v>2</v>
      </c>
      <c r="G7" s="12" t="s">
        <v>3</v>
      </c>
      <c r="H7" s="12" t="s">
        <v>4</v>
      </c>
      <c r="I7" s="12" t="s">
        <v>5</v>
      </c>
      <c r="J7" s="12" t="s">
        <v>6</v>
      </c>
      <c r="K7" s="12" t="s">
        <v>7</v>
      </c>
      <c r="L7" s="12" t="s">
        <v>8</v>
      </c>
      <c r="M7" s="12" t="s">
        <v>9</v>
      </c>
      <c r="N7" s="12" t="s">
        <v>10</v>
      </c>
      <c r="O7" s="12" t="s">
        <v>11</v>
      </c>
      <c r="P7" s="12" t="s">
        <v>12</v>
      </c>
      <c r="Q7" s="12" t="s">
        <v>13</v>
      </c>
      <c r="R7" s="12" t="s">
        <v>14</v>
      </c>
      <c r="S7" s="12" t="s">
        <v>15</v>
      </c>
      <c r="T7" s="12" t="s">
        <v>16</v>
      </c>
      <c r="U7" s="12" t="s">
        <v>17</v>
      </c>
      <c r="V7" s="12" t="s">
        <v>18</v>
      </c>
      <c r="W7" s="12" t="s">
        <v>19</v>
      </c>
      <c r="X7" s="13"/>
      <c r="Y7" s="279" t="str">
        <f>IF(Info!$D$34=1,"sum(S1 to S20)","suma (S1 a S20)")</f>
        <v>sum(S1 to S20)</v>
      </c>
      <c r="Z7" s="280"/>
      <c r="AA7" s="281"/>
      <c r="AB7" s="57"/>
      <c r="AC7" s="279" t="str">
        <f>IF(Info!$D$34=1,"mean","media")</f>
        <v>mean</v>
      </c>
      <c r="AD7" s="280"/>
      <c r="AE7" s="281"/>
    </row>
    <row r="8" spans="2:31" s="7" customFormat="1" ht="13.8" thickBot="1">
      <c r="D8" s="58" t="str">
        <f>IF(Info!$D$34=1,"meas 1+2","med 1+2")</f>
        <v>meas 1+2</v>
      </c>
      <c r="E8" s="58" t="str">
        <f>IF(Info!$D$34=1,"meas 1+2","med 1+2")</f>
        <v>meas 1+2</v>
      </c>
      <c r="F8" s="58" t="str">
        <f>IF(Info!$D$34=1,"meas 1+2","med 1+2")</f>
        <v>meas 1+2</v>
      </c>
      <c r="G8" s="58" t="str">
        <f>IF(Info!$D$34=1,"meas 1+2","med 1+2")</f>
        <v>meas 1+2</v>
      </c>
      <c r="H8" s="58" t="str">
        <f>IF(Info!$D$34=1,"meas 1+2","med 1+2")</f>
        <v>meas 1+2</v>
      </c>
      <c r="I8" s="58" t="str">
        <f>IF(Info!$D$34=1,"meas 1+2","med 1+2")</f>
        <v>meas 1+2</v>
      </c>
      <c r="J8" s="58" t="str">
        <f>IF(Info!$D$34=1,"meas 1+2","med 1+2")</f>
        <v>meas 1+2</v>
      </c>
      <c r="K8" s="58" t="str">
        <f>IF(Info!$D$34=1,"meas 1+2","med 1+2")</f>
        <v>meas 1+2</v>
      </c>
      <c r="L8" s="58" t="str">
        <f>IF(Info!$D$34=1,"meas 1+2","med 1+2")</f>
        <v>meas 1+2</v>
      </c>
      <c r="M8" s="58" t="str">
        <f>IF(Info!$D$34=1,"meas 1+2","med 1+2")</f>
        <v>meas 1+2</v>
      </c>
      <c r="N8" s="58" t="str">
        <f>IF(Info!$D$34=1,"meas 1+2","med 1+2")</f>
        <v>meas 1+2</v>
      </c>
      <c r="O8" s="58" t="str">
        <f>IF(Info!$D$34=1,"meas 1+2","med 1+2")</f>
        <v>meas 1+2</v>
      </c>
      <c r="P8" s="58" t="str">
        <f>IF(Info!$D$34=1,"meas 1+2","med 1+2")</f>
        <v>meas 1+2</v>
      </c>
      <c r="Q8" s="58" t="str">
        <f>IF(Info!$D$34=1,"meas 1+2","med 1+2")</f>
        <v>meas 1+2</v>
      </c>
      <c r="R8" s="58" t="str">
        <f>IF(Info!$D$34=1,"meas 1+2","med 1+2")</f>
        <v>meas 1+2</v>
      </c>
      <c r="S8" s="58" t="str">
        <f>IF(Info!$D$34=1,"meas 1+2","med 1+2")</f>
        <v>meas 1+2</v>
      </c>
      <c r="T8" s="58" t="str">
        <f>IF(Info!$D$34=1,"meas 1+2","med 1+2")</f>
        <v>meas 1+2</v>
      </c>
      <c r="U8" s="58" t="str">
        <f>IF(Info!$D$34=1,"meas 1+2","med 1+2")</f>
        <v>meas 1+2</v>
      </c>
      <c r="V8" s="58" t="str">
        <f>IF(Info!$D$34=1,"meas 1+2","med 1+2")</f>
        <v>meas 1+2</v>
      </c>
      <c r="W8" s="58" t="str">
        <f>IF(Info!$D$34=1,"meas 1+2","med 1+2")</f>
        <v>meas 1+2</v>
      </c>
      <c r="X8" s="14"/>
      <c r="Y8" s="59" t="str">
        <f>IF(Info!$D$34=1,"measure 1","medida 1")</f>
        <v>measure 1</v>
      </c>
      <c r="Z8" s="59" t="str">
        <f>IF(Info!$D$34=1,"measure 2","medida 2")</f>
        <v>measure 2</v>
      </c>
      <c r="AA8" s="59" t="str">
        <f>IF(Info!$D$34=1,"meas 1+2","med 1+2")</f>
        <v>meas 1+2</v>
      </c>
      <c r="AB8" s="57"/>
      <c r="AC8" s="59" t="str">
        <f>IF(Info!$D$34=1,"measure 1","medida 1")</f>
        <v>measure 1</v>
      </c>
      <c r="AD8" s="59" t="str">
        <f>IF(Info!$D$34=1,"measure 2","medida 2")</f>
        <v>measure 2</v>
      </c>
      <c r="AE8" s="59" t="str">
        <f>IF(Info!$D$34=1,"meas 1+2","med 1+2")</f>
        <v>meas 1+2</v>
      </c>
    </row>
    <row r="9" spans="2:31" ht="13.8" thickTop="1">
      <c r="B9" s="15"/>
      <c r="C9" s="17"/>
      <c r="D9" s="18"/>
      <c r="E9" s="18"/>
      <c r="F9" s="18"/>
      <c r="G9" s="18"/>
      <c r="H9" s="18"/>
      <c r="I9" s="18"/>
      <c r="J9" s="18"/>
      <c r="K9" s="18"/>
      <c r="L9" s="18"/>
      <c r="M9" s="18"/>
      <c r="N9" s="18"/>
      <c r="O9" s="18"/>
      <c r="P9" s="18"/>
      <c r="Q9" s="18"/>
      <c r="R9" s="18"/>
      <c r="S9" s="18"/>
      <c r="T9" s="18"/>
      <c r="U9" s="18"/>
      <c r="V9" s="18"/>
      <c r="W9" s="18"/>
      <c r="X9" s="18"/>
      <c r="Y9" s="17"/>
      <c r="Z9" s="17"/>
      <c r="AA9" s="17"/>
      <c r="AB9" s="19"/>
      <c r="AC9" s="17"/>
      <c r="AD9" s="17"/>
      <c r="AE9" s="17"/>
    </row>
    <row r="10" spans="2:31">
      <c r="B10" s="27">
        <f>'Measures-Medidas'!B10</f>
        <v>1</v>
      </c>
      <c r="C10" s="17" t="str">
        <f>'Measures-Medidas'!C10</f>
        <v>Mass</v>
      </c>
      <c r="D10" s="20">
        <f>SUM('Measures-Medidas'!D10,'Measures-Medidas'!E10)</f>
        <v>0</v>
      </c>
      <c r="E10" s="20">
        <f>SUM('Measures-Medidas'!F10,'Measures-Medidas'!G10)</f>
        <v>0</v>
      </c>
      <c r="F10" s="20">
        <f>SUM('Measures-Medidas'!H10,'Measures-Medidas'!I10)</f>
        <v>0</v>
      </c>
      <c r="G10" s="20">
        <f>SUM('Measures-Medidas'!J10,'Measures-Medidas'!K10)</f>
        <v>0</v>
      </c>
      <c r="H10" s="20">
        <f>SUM('Measures-Medidas'!L10,'Measures-Medidas'!M10)</f>
        <v>0</v>
      </c>
      <c r="I10" s="20">
        <f>SUM('Measures-Medidas'!N10,'Measures-Medidas'!O10)</f>
        <v>0</v>
      </c>
      <c r="J10" s="20">
        <f>SUM('Measures-Medidas'!P10,'Measures-Medidas'!Q10)</f>
        <v>154.80000000000001</v>
      </c>
      <c r="K10" s="20">
        <f>SUM('Measures-Medidas'!R10,'Measures-Medidas'!S10)</f>
        <v>109.4</v>
      </c>
      <c r="L10" s="20">
        <f>SUM('Measures-Medidas'!T10,'Measures-Medidas'!U10)</f>
        <v>0</v>
      </c>
      <c r="M10" s="20">
        <f>SUM('Measures-Medidas'!V10,'Measures-Medidas'!W10)</f>
        <v>142.55000000000001</v>
      </c>
      <c r="N10" s="20">
        <f>SUM('Measures-Medidas'!X10,'Measures-Medidas'!Y10)</f>
        <v>156.80000000000001</v>
      </c>
      <c r="O10" s="20">
        <f>SUM('Measures-Medidas'!Z10,'Measures-Medidas'!AA10)</f>
        <v>132.6</v>
      </c>
      <c r="P10" s="20">
        <f>SUM('Measures-Medidas'!AB10,'Measures-Medidas'!AC10)</f>
        <v>167.2</v>
      </c>
      <c r="Q10" s="20">
        <f>SUM('Measures-Medidas'!AD10,'Measures-Medidas'!AE10)</f>
        <v>136.6</v>
      </c>
      <c r="R10" s="20">
        <f>SUM('Measures-Medidas'!AF10,'Measures-Medidas'!AG10)</f>
        <v>0</v>
      </c>
      <c r="S10" s="20">
        <f>SUM('Measures-Medidas'!AH10,'Measures-Medidas'!AI10)</f>
        <v>0</v>
      </c>
      <c r="T10" s="20">
        <f>SUM('Measures-Medidas'!AJ10,'Measures-Medidas'!AK10)</f>
        <v>0</v>
      </c>
      <c r="U10" s="20">
        <f>SUM('Measures-Medidas'!AL10,'Measures-Medidas'!AM10)</f>
        <v>0</v>
      </c>
      <c r="V10" s="20">
        <f>SUM('Measures-Medidas'!AN10,'Measures-Medidas'!AO10)</f>
        <v>0</v>
      </c>
      <c r="W10" s="20">
        <f>SUM('Measures-Medidas'!AP10,'Measures-Medidas'!AQ10)</f>
        <v>0</v>
      </c>
      <c r="X10" s="21"/>
      <c r="Y10" s="22">
        <f>SUM('Measures-Medidas'!D10,'Measures-Medidas'!F10,'Measures-Medidas'!H10,'Measures-Medidas'!J10,'Measures-Medidas'!L10,'Measures-Medidas'!N10,'Measures-Medidas'!P10,'Measures-Medidas'!R10,'Measures-Medidas'!T10,'Measures-Medidas'!V10,'Measures-Medidas'!X10,'Measures-Medidas'!Z10,'Measures-Medidas'!AB10,'Measures-Medidas'!AD10,'Measures-Medidas'!AF10,'Measures-Medidas'!AH10,'Measures-Medidas'!AJ10,'Measures-Medidas'!AL10,'Measures-Medidas'!AN10,'Measures-Medidas'!AP10)</f>
        <v>499.95</v>
      </c>
      <c r="Z10" s="22">
        <f>SUM('Measures-Medidas'!E10,'Measures-Medidas'!G10,'Measures-Medidas'!I10,'Measures-Medidas'!K10,'Measures-Medidas'!M10,'Measures-Medidas'!O10,'Measures-Medidas'!Q10,'Measures-Medidas'!S10,'Measures-Medidas'!U10,'Measures-Medidas'!W10,'Measures-Medidas'!Y10,'Measures-Medidas'!AA10,'Measures-Medidas'!AC10,'Measures-Medidas'!AE10,'Measures-Medidas'!AG10,'Measures-Medidas'!AI10,'Measures-Medidas'!AK10,'Measures-Medidas'!AM10,'Measures-Medidas'!AO10,'Measures-Medidas'!AQ10)</f>
        <v>500.00000000000006</v>
      </c>
      <c r="AA10" s="22">
        <f>Y10+Z10</f>
        <v>999.95</v>
      </c>
      <c r="AB10" s="23"/>
      <c r="AC10" s="22">
        <f>Y10/20</f>
        <v>24.997499999999999</v>
      </c>
      <c r="AD10" s="22">
        <f>Z10/2</f>
        <v>250.00000000000003</v>
      </c>
      <c r="AE10" s="22">
        <f>(AA10)/(20*2)</f>
        <v>24.998750000000001</v>
      </c>
    </row>
    <row r="11" spans="2:31">
      <c r="B11" s="27">
        <f>'Measures-Medidas'!B11</f>
        <v>2</v>
      </c>
      <c r="C11" s="17" t="str">
        <f>'Measures-Medidas'!C11</f>
        <v>Stature</v>
      </c>
      <c r="D11" s="20">
        <f>SUM('Measures-Medidas'!D11,'Measures-Medidas'!E11)</f>
        <v>0</v>
      </c>
      <c r="E11" s="20">
        <f>SUM('Measures-Medidas'!F11,'Measures-Medidas'!G11)</f>
        <v>0</v>
      </c>
      <c r="F11" s="20">
        <f>SUM('Measures-Medidas'!H11,'Measures-Medidas'!I11)</f>
        <v>0</v>
      </c>
      <c r="G11" s="20">
        <f>SUM('Measures-Medidas'!J11,'Measures-Medidas'!K11)</f>
        <v>0</v>
      </c>
      <c r="H11" s="20">
        <f>SUM('Measures-Medidas'!L11,'Measures-Medidas'!M11)</f>
        <v>0</v>
      </c>
      <c r="I11" s="20">
        <f>SUM('Measures-Medidas'!N11,'Measures-Medidas'!O11)</f>
        <v>0</v>
      </c>
      <c r="J11" s="20">
        <f>SUM('Measures-Medidas'!P11,'Measures-Medidas'!Q11)</f>
        <v>352</v>
      </c>
      <c r="K11" s="20">
        <f>SUM('Measures-Medidas'!R11,'Measures-Medidas'!S11)</f>
        <v>336</v>
      </c>
      <c r="L11" s="20">
        <f>SUM('Measures-Medidas'!T11,'Measures-Medidas'!U11)</f>
        <v>0</v>
      </c>
      <c r="M11" s="20">
        <f>SUM('Measures-Medidas'!V11,'Measures-Medidas'!W11)</f>
        <v>358</v>
      </c>
      <c r="N11" s="20">
        <f>SUM('Measures-Medidas'!X11,'Measures-Medidas'!Y11)</f>
        <v>345</v>
      </c>
      <c r="O11" s="20">
        <f>SUM('Measures-Medidas'!Z11,'Measures-Medidas'!AA11)</f>
        <v>354</v>
      </c>
      <c r="P11" s="20">
        <f>SUM('Measures-Medidas'!AB11,'Measures-Medidas'!AC11)</f>
        <v>366</v>
      </c>
      <c r="Q11" s="20">
        <f>SUM('Measures-Medidas'!AD11,'Measures-Medidas'!AE11)</f>
        <v>344</v>
      </c>
      <c r="R11" s="20">
        <f>SUM('Measures-Medidas'!AF11,'Measures-Medidas'!AG11)</f>
        <v>0</v>
      </c>
      <c r="S11" s="20">
        <f>SUM('Measures-Medidas'!AH11,'Measures-Medidas'!AI11)</f>
        <v>0</v>
      </c>
      <c r="T11" s="20">
        <f>SUM('Measures-Medidas'!AJ11,'Measures-Medidas'!AK11)</f>
        <v>0</v>
      </c>
      <c r="U11" s="20">
        <f>SUM('Measures-Medidas'!AL11,'Measures-Medidas'!AM11)</f>
        <v>0</v>
      </c>
      <c r="V11" s="20">
        <f>SUM('Measures-Medidas'!AN11,'Measures-Medidas'!AO11)</f>
        <v>0</v>
      </c>
      <c r="W11" s="20">
        <f>SUM('Measures-Medidas'!AP11,'Measures-Medidas'!AQ11)</f>
        <v>0</v>
      </c>
      <c r="X11" s="21"/>
      <c r="Y11" s="22">
        <f>SUM('Measures-Medidas'!D11,'Measures-Medidas'!F11,'Measures-Medidas'!H11,'Measures-Medidas'!J11,'Measures-Medidas'!L11,'Measures-Medidas'!N11,'Measures-Medidas'!P11,'Measures-Medidas'!R11,'Measures-Medidas'!T11,'Measures-Medidas'!V11,'Measures-Medidas'!X11,'Measures-Medidas'!Z11,'Measures-Medidas'!AB11,'Measures-Medidas'!AD11,'Measures-Medidas'!AF11,'Measures-Medidas'!AH11,'Measures-Medidas'!AJ11,'Measures-Medidas'!AL11,'Measures-Medidas'!AN11,'Measures-Medidas'!AP11)</f>
        <v>1227.5</v>
      </c>
      <c r="Z11" s="22">
        <f>SUM('Measures-Medidas'!E11,'Measures-Medidas'!G11,'Measures-Medidas'!I11,'Measures-Medidas'!K11,'Measures-Medidas'!M11,'Measures-Medidas'!O11,'Measures-Medidas'!Q11,'Measures-Medidas'!S11,'Measures-Medidas'!U11,'Measures-Medidas'!W11,'Measures-Medidas'!Y11,'Measures-Medidas'!AA11,'Measures-Medidas'!AC11,'Measures-Medidas'!AE11,'Measures-Medidas'!AG11,'Measures-Medidas'!AI11,'Measures-Medidas'!AK11,'Measures-Medidas'!AM11,'Measures-Medidas'!AO11,'Measures-Medidas'!AQ11)</f>
        <v>1227.5</v>
      </c>
      <c r="AA11" s="22">
        <f>Y11+Z11</f>
        <v>2455</v>
      </c>
      <c r="AB11" s="23"/>
      <c r="AC11" s="22">
        <f t="shared" ref="AC11:AC26" si="0">Y11/20</f>
        <v>61.375</v>
      </c>
      <c r="AD11" s="22">
        <f t="shared" ref="AD11:AD26" si="1">Z11/2</f>
        <v>613.75</v>
      </c>
      <c r="AE11" s="22">
        <f t="shared" ref="AE11:AE26" si="2">(AA11)/(20*2)</f>
        <v>61.375</v>
      </c>
    </row>
    <row r="12" spans="2:31">
      <c r="B12" s="27">
        <f>'Measures-Medidas'!B12</f>
        <v>3</v>
      </c>
      <c r="C12" s="17" t="str">
        <f>'Measures-Medidas'!C12</f>
        <v>Sitting height</v>
      </c>
      <c r="D12" s="20">
        <f>SUM('Measures-Medidas'!D12,'Measures-Medidas'!E12)</f>
        <v>0</v>
      </c>
      <c r="E12" s="20">
        <f>SUM('Measures-Medidas'!F12,'Measures-Medidas'!G12)</f>
        <v>0</v>
      </c>
      <c r="F12" s="20">
        <f>SUM('Measures-Medidas'!H12,'Measures-Medidas'!I12)</f>
        <v>0</v>
      </c>
      <c r="G12" s="20">
        <f>SUM('Measures-Medidas'!J12,'Measures-Medidas'!K12)</f>
        <v>0</v>
      </c>
      <c r="H12" s="20">
        <f>SUM('Measures-Medidas'!L12,'Measures-Medidas'!M12)</f>
        <v>0</v>
      </c>
      <c r="I12" s="20">
        <f>SUM('Measures-Medidas'!N12,'Measures-Medidas'!O12)</f>
        <v>0</v>
      </c>
      <c r="J12" s="20">
        <f>SUM('Measures-Medidas'!P12,'Measures-Medidas'!Q12)</f>
        <v>189</v>
      </c>
      <c r="K12" s="20">
        <f>SUM('Measures-Medidas'!R12,'Measures-Medidas'!S12)</f>
        <v>173</v>
      </c>
      <c r="L12" s="20">
        <f>SUM('Measures-Medidas'!T12,'Measures-Medidas'!U12)</f>
        <v>0</v>
      </c>
      <c r="M12" s="20">
        <f>SUM('Measures-Medidas'!V12,'Measures-Medidas'!W12)</f>
        <v>198</v>
      </c>
      <c r="N12" s="20">
        <f>SUM('Measures-Medidas'!X12,'Measures-Medidas'!Y12)</f>
        <v>183</v>
      </c>
      <c r="O12" s="20">
        <f>SUM('Measures-Medidas'!Z12,'Measures-Medidas'!AA12)</f>
        <v>257</v>
      </c>
      <c r="P12" s="20">
        <f>SUM('Measures-Medidas'!AB12,'Measures-Medidas'!AC12)</f>
        <v>230</v>
      </c>
      <c r="Q12" s="20">
        <f>SUM('Measures-Medidas'!AD12,'Measures-Medidas'!AE12)</f>
        <v>170</v>
      </c>
      <c r="R12" s="20">
        <f>SUM('Measures-Medidas'!AF12,'Measures-Medidas'!AG12)</f>
        <v>0</v>
      </c>
      <c r="S12" s="20">
        <f>SUM('Measures-Medidas'!AH12,'Measures-Medidas'!AI12)</f>
        <v>0</v>
      </c>
      <c r="T12" s="20">
        <f>SUM('Measures-Medidas'!AJ12,'Measures-Medidas'!AK12)</f>
        <v>0</v>
      </c>
      <c r="U12" s="20">
        <f>SUM('Measures-Medidas'!AL12,'Measures-Medidas'!AM12)</f>
        <v>0</v>
      </c>
      <c r="V12" s="20">
        <f>SUM('Measures-Medidas'!AN12,'Measures-Medidas'!AO12)</f>
        <v>0</v>
      </c>
      <c r="W12" s="20">
        <f>SUM('Measures-Medidas'!AP12,'Measures-Medidas'!AQ12)</f>
        <v>0</v>
      </c>
      <c r="X12" s="21"/>
      <c r="Y12" s="22">
        <f>SUM('Measures-Medidas'!D12,'Measures-Medidas'!F12,'Measures-Medidas'!H12,'Measures-Medidas'!J12,'Measures-Medidas'!L12,'Measures-Medidas'!N12,'Measures-Medidas'!P12,'Measures-Medidas'!R12,'Measures-Medidas'!T12,'Measures-Medidas'!V12,'Measures-Medidas'!X12,'Measures-Medidas'!Z12,'Measures-Medidas'!AB12,'Measures-Medidas'!AD12,'Measures-Medidas'!AF12,'Measures-Medidas'!AH12,'Measures-Medidas'!AJ12,'Measures-Medidas'!AL12,'Measures-Medidas'!AN12,'Measures-Medidas'!AP12)</f>
        <v>700</v>
      </c>
      <c r="Z12" s="22">
        <f>SUM('Measures-Medidas'!E12,'Measures-Medidas'!G12,'Measures-Medidas'!I12,'Measures-Medidas'!K12,'Measures-Medidas'!M12,'Measures-Medidas'!O12,'Measures-Medidas'!Q12,'Measures-Medidas'!S12,'Measures-Medidas'!U12,'Measures-Medidas'!W12,'Measures-Medidas'!Y12,'Measures-Medidas'!AA12,'Measures-Medidas'!AC12,'Measures-Medidas'!AE12,'Measures-Medidas'!AG12,'Measures-Medidas'!AI12,'Measures-Medidas'!AK12,'Measures-Medidas'!AM12,'Measures-Medidas'!AO12,'Measures-Medidas'!AQ12)</f>
        <v>700</v>
      </c>
      <c r="AA12" s="22">
        <f t="shared" ref="AA12:AA19" si="3">Y12+Z12</f>
        <v>1400</v>
      </c>
      <c r="AB12" s="23"/>
      <c r="AC12" s="22">
        <f t="shared" si="0"/>
        <v>35</v>
      </c>
      <c r="AD12" s="22">
        <f t="shared" si="1"/>
        <v>350</v>
      </c>
      <c r="AE12" s="22">
        <f t="shared" si="2"/>
        <v>35</v>
      </c>
    </row>
    <row r="13" spans="2:31">
      <c r="B13" s="27">
        <f>'Measures-Medidas'!B13</f>
        <v>4</v>
      </c>
      <c r="C13" s="17" t="str">
        <f>'Measures-Medidas'!C13</f>
        <v>Arm Span</v>
      </c>
      <c r="D13" s="20">
        <f>SUM('Measures-Medidas'!D13,'Measures-Medidas'!E13)</f>
        <v>0</v>
      </c>
      <c r="E13" s="20">
        <f>SUM('Measures-Medidas'!F13,'Measures-Medidas'!G13)</f>
        <v>0</v>
      </c>
      <c r="F13" s="20">
        <f>SUM('Measures-Medidas'!H13,'Measures-Medidas'!I13)</f>
        <v>0</v>
      </c>
      <c r="G13" s="20">
        <f>SUM('Measures-Medidas'!J13,'Measures-Medidas'!K13)</f>
        <v>0</v>
      </c>
      <c r="H13" s="20">
        <f>SUM('Measures-Medidas'!L13,'Measures-Medidas'!M13)</f>
        <v>0</v>
      </c>
      <c r="I13" s="20">
        <f>SUM('Measures-Medidas'!N13,'Measures-Medidas'!O13)</f>
        <v>0</v>
      </c>
      <c r="J13" s="20">
        <f>SUM('Measures-Medidas'!P13,'Measures-Medidas'!Q13)</f>
        <v>340.3</v>
      </c>
      <c r="K13" s="20">
        <f>SUM('Measures-Medidas'!R13,'Measures-Medidas'!S13)</f>
        <v>336</v>
      </c>
      <c r="L13" s="20">
        <f>SUM('Measures-Medidas'!T13,'Measures-Medidas'!U13)</f>
        <v>0</v>
      </c>
      <c r="M13" s="20">
        <f>SUM('Measures-Medidas'!V13,'Measures-Medidas'!W13)</f>
        <v>357</v>
      </c>
      <c r="N13" s="20">
        <f>SUM('Measures-Medidas'!X13,'Measures-Medidas'!Y13)</f>
        <v>342</v>
      </c>
      <c r="O13" s="20">
        <f>SUM('Measures-Medidas'!Z13,'Measures-Medidas'!AA13)</f>
        <v>358</v>
      </c>
      <c r="P13" s="20">
        <f>SUM('Measures-Medidas'!AB13,'Measures-Medidas'!AC13)</f>
        <v>359</v>
      </c>
      <c r="Q13" s="20">
        <f>SUM('Measures-Medidas'!AD13,'Measures-Medidas'!AE13)</f>
        <v>344</v>
      </c>
      <c r="R13" s="20">
        <f>SUM('Measures-Medidas'!AF13,'Measures-Medidas'!AG13)</f>
        <v>0</v>
      </c>
      <c r="S13" s="20">
        <f>SUM('Measures-Medidas'!AH13,'Measures-Medidas'!AI13)</f>
        <v>0</v>
      </c>
      <c r="T13" s="20">
        <f>SUM('Measures-Medidas'!AJ13,'Measures-Medidas'!AK13)</f>
        <v>0</v>
      </c>
      <c r="U13" s="20">
        <f>SUM('Measures-Medidas'!AL13,'Measures-Medidas'!AM13)</f>
        <v>0</v>
      </c>
      <c r="V13" s="20">
        <f>SUM('Measures-Medidas'!AN13,'Measures-Medidas'!AO13)</f>
        <v>0</v>
      </c>
      <c r="W13" s="20">
        <f>SUM('Measures-Medidas'!AP13,'Measures-Medidas'!AQ13)</f>
        <v>0</v>
      </c>
      <c r="X13" s="21"/>
      <c r="Y13" s="22">
        <f>SUM('Measures-Medidas'!D13,'Measures-Medidas'!F13,'Measures-Medidas'!H13,'Measures-Medidas'!J13,'Measures-Medidas'!L13,'Measures-Medidas'!N13,'Measures-Medidas'!P13,'Measures-Medidas'!R13,'Measures-Medidas'!T13,'Measures-Medidas'!V13,'Measures-Medidas'!X13,'Measures-Medidas'!Z13,'Measures-Medidas'!AB13,'Measures-Medidas'!AD13,'Measures-Medidas'!AF13,'Measures-Medidas'!AH13,'Measures-Medidas'!AJ13,'Measures-Medidas'!AL13,'Measures-Medidas'!AN13,'Measures-Medidas'!AP13)</f>
        <v>1218.3</v>
      </c>
      <c r="Z13" s="22">
        <f>SUM('Measures-Medidas'!E13,'Measures-Medidas'!G13,'Measures-Medidas'!I13,'Measures-Medidas'!K13,'Measures-Medidas'!M13,'Measures-Medidas'!O13,'Measures-Medidas'!Q13,'Measures-Medidas'!S13,'Measures-Medidas'!U13,'Measures-Medidas'!W13,'Measures-Medidas'!Y13,'Measures-Medidas'!AA13,'Measures-Medidas'!AC13,'Measures-Medidas'!AE13,'Measures-Medidas'!AG13,'Measures-Medidas'!AI13,'Measures-Medidas'!AK13,'Measures-Medidas'!AM13,'Measures-Medidas'!AO13,'Measures-Medidas'!AQ13)</f>
        <v>1218</v>
      </c>
      <c r="AA13" s="22">
        <f t="shared" si="3"/>
        <v>2436.3000000000002</v>
      </c>
      <c r="AB13" s="23"/>
      <c r="AC13" s="22">
        <f t="shared" si="0"/>
        <v>60.914999999999999</v>
      </c>
      <c r="AD13" s="22">
        <f t="shared" si="1"/>
        <v>609</v>
      </c>
      <c r="AE13" s="22">
        <f t="shared" si="2"/>
        <v>60.907500000000006</v>
      </c>
    </row>
    <row r="14" spans="2:31">
      <c r="B14" s="27">
        <f>'Measures-Medidas'!B14</f>
        <v>5</v>
      </c>
      <c r="C14" s="17" t="str">
        <f>'Measures-Medidas'!C14</f>
        <v>Triceps sf</v>
      </c>
      <c r="D14" s="20">
        <f>SUM('Measures-Medidas'!D14,'Measures-Medidas'!E14)</f>
        <v>0</v>
      </c>
      <c r="E14" s="20">
        <f>SUM('Measures-Medidas'!F14,'Measures-Medidas'!G14)</f>
        <v>0</v>
      </c>
      <c r="F14" s="20">
        <f>SUM('Measures-Medidas'!H14,'Measures-Medidas'!I14)</f>
        <v>0</v>
      </c>
      <c r="G14" s="20">
        <f>SUM('Measures-Medidas'!J14,'Measures-Medidas'!K14)</f>
        <v>0</v>
      </c>
      <c r="H14" s="20">
        <f>SUM('Measures-Medidas'!L14,'Measures-Medidas'!M14)</f>
        <v>0</v>
      </c>
      <c r="I14" s="20">
        <f>SUM('Measures-Medidas'!N14,'Measures-Medidas'!O14)</f>
        <v>0</v>
      </c>
      <c r="J14" s="20">
        <f>SUM('Measures-Medidas'!P14,'Measures-Medidas'!Q14)</f>
        <v>12</v>
      </c>
      <c r="K14" s="20">
        <f>SUM('Measures-Medidas'!R14,'Measures-Medidas'!S14)</f>
        <v>20</v>
      </c>
      <c r="L14" s="20">
        <f>SUM('Measures-Medidas'!T14,'Measures-Medidas'!U14)</f>
        <v>0</v>
      </c>
      <c r="M14" s="20">
        <f>SUM('Measures-Medidas'!V14,'Measures-Medidas'!W14)</f>
        <v>16</v>
      </c>
      <c r="N14" s="20">
        <f>SUM('Measures-Medidas'!X14,'Measures-Medidas'!Y14)</f>
        <v>13</v>
      </c>
      <c r="O14" s="20">
        <f>SUM('Measures-Medidas'!Z14,'Measures-Medidas'!AA14)</f>
        <v>10</v>
      </c>
      <c r="P14" s="20">
        <f>SUM('Measures-Medidas'!AB14,'Measures-Medidas'!AC14)</f>
        <v>10</v>
      </c>
      <c r="Q14" s="20">
        <f>SUM('Measures-Medidas'!AD14,'Measures-Medidas'!AE14)</f>
        <v>18</v>
      </c>
      <c r="R14" s="20">
        <f>SUM('Measures-Medidas'!AF14,'Measures-Medidas'!AG14)</f>
        <v>0</v>
      </c>
      <c r="S14" s="20">
        <f>SUM('Measures-Medidas'!AH14,'Measures-Medidas'!AI14)</f>
        <v>0</v>
      </c>
      <c r="T14" s="20">
        <f>SUM('Measures-Medidas'!AJ14,'Measures-Medidas'!AK14)</f>
        <v>0</v>
      </c>
      <c r="U14" s="20">
        <f>SUM('Measures-Medidas'!AL14,'Measures-Medidas'!AM14)</f>
        <v>13.5</v>
      </c>
      <c r="V14" s="20">
        <f>SUM('Measures-Medidas'!AN14,'Measures-Medidas'!AO14)</f>
        <v>36</v>
      </c>
      <c r="W14" s="20">
        <f>SUM('Measures-Medidas'!AP14,'Measures-Medidas'!AQ14)</f>
        <v>0</v>
      </c>
      <c r="X14" s="21"/>
      <c r="Y14" s="22">
        <f>SUM('Measures-Medidas'!D14,'Measures-Medidas'!F14,'Measures-Medidas'!H14,'Measures-Medidas'!J14,'Measures-Medidas'!L14,'Measures-Medidas'!N14,'Measures-Medidas'!P14,'Measures-Medidas'!R14,'Measures-Medidas'!T14,'Measures-Medidas'!V14,'Measures-Medidas'!X14,'Measures-Medidas'!Z14,'Measures-Medidas'!AB14,'Measures-Medidas'!AD14,'Measures-Medidas'!AF14,'Measures-Medidas'!AH14,'Measures-Medidas'!AJ14,'Measures-Medidas'!AL14,'Measures-Medidas'!AN14,'Measures-Medidas'!AP14)</f>
        <v>75.5</v>
      </c>
      <c r="Z14" s="22">
        <f>SUM('Measures-Medidas'!E14,'Measures-Medidas'!G14,'Measures-Medidas'!I14,'Measures-Medidas'!K14,'Measures-Medidas'!M14,'Measures-Medidas'!O14,'Measures-Medidas'!Q14,'Measures-Medidas'!S14,'Measures-Medidas'!U14,'Measures-Medidas'!W14,'Measures-Medidas'!Y14,'Measures-Medidas'!AA14,'Measures-Medidas'!AC14,'Measures-Medidas'!AE14,'Measures-Medidas'!AG14,'Measures-Medidas'!AI14,'Measures-Medidas'!AK14,'Measures-Medidas'!AM14,'Measures-Medidas'!AO14,'Measures-Medidas'!AQ14)</f>
        <v>73</v>
      </c>
      <c r="AA14" s="22">
        <f>Y14+Z14</f>
        <v>148.5</v>
      </c>
      <c r="AB14" s="23"/>
      <c r="AC14" s="22">
        <f t="shared" si="0"/>
        <v>3.7749999999999999</v>
      </c>
      <c r="AD14" s="22">
        <f t="shared" si="1"/>
        <v>36.5</v>
      </c>
      <c r="AE14" s="22">
        <f t="shared" si="2"/>
        <v>3.7124999999999999</v>
      </c>
    </row>
    <row r="15" spans="2:31">
      <c r="B15" s="27">
        <f>'Measures-Medidas'!B15</f>
        <v>6</v>
      </c>
      <c r="C15" s="17" t="str">
        <f>'Measures-Medidas'!C15</f>
        <v>Subscapular sf</v>
      </c>
      <c r="D15" s="20">
        <f>SUM('Measures-Medidas'!D15,'Measures-Medidas'!E15)</f>
        <v>0</v>
      </c>
      <c r="E15" s="20">
        <f>SUM('Measures-Medidas'!F15,'Measures-Medidas'!G15)</f>
        <v>0</v>
      </c>
      <c r="F15" s="20">
        <f>SUM('Measures-Medidas'!H15,'Measures-Medidas'!I15)</f>
        <v>0</v>
      </c>
      <c r="G15" s="20">
        <f>SUM('Measures-Medidas'!J15,'Measures-Medidas'!K15)</f>
        <v>0</v>
      </c>
      <c r="H15" s="20">
        <f>SUM('Measures-Medidas'!L15,'Measures-Medidas'!M15)</f>
        <v>0</v>
      </c>
      <c r="I15" s="20">
        <f>SUM('Measures-Medidas'!N15,'Measures-Medidas'!O15)</f>
        <v>0</v>
      </c>
      <c r="J15" s="20">
        <f>SUM('Measures-Medidas'!P15,'Measures-Medidas'!Q15)</f>
        <v>26</v>
      </c>
      <c r="K15" s="20">
        <f>SUM('Measures-Medidas'!R15,'Measures-Medidas'!S15)</f>
        <v>16</v>
      </c>
      <c r="L15" s="20">
        <f>SUM('Measures-Medidas'!T15,'Measures-Medidas'!U15)</f>
        <v>0</v>
      </c>
      <c r="M15" s="20">
        <f>SUM('Measures-Medidas'!V15,'Measures-Medidas'!W15)</f>
        <v>18</v>
      </c>
      <c r="N15" s="20">
        <f>SUM('Measures-Medidas'!X15,'Measures-Medidas'!Y15)</f>
        <v>24</v>
      </c>
      <c r="O15" s="20">
        <f>SUM('Measures-Medidas'!Z15,'Measures-Medidas'!AA15)</f>
        <v>14</v>
      </c>
      <c r="P15" s="20">
        <f>SUM('Measures-Medidas'!AB15,'Measures-Medidas'!AC15)</f>
        <v>13</v>
      </c>
      <c r="Q15" s="20">
        <f>SUM('Measures-Medidas'!AD15,'Measures-Medidas'!AE15)</f>
        <v>26</v>
      </c>
      <c r="R15" s="20">
        <f>SUM('Measures-Medidas'!AF15,'Measures-Medidas'!AG15)</f>
        <v>0</v>
      </c>
      <c r="S15" s="20">
        <f>SUM('Measures-Medidas'!AH15,'Measures-Medidas'!AI15)</f>
        <v>0</v>
      </c>
      <c r="T15" s="20">
        <f>SUM('Measures-Medidas'!AJ15,'Measures-Medidas'!AK15)</f>
        <v>0</v>
      </c>
      <c r="U15" s="20">
        <f>SUM('Measures-Medidas'!AL15,'Measures-Medidas'!AM15)</f>
        <v>25</v>
      </c>
      <c r="V15" s="20">
        <f>SUM('Measures-Medidas'!AN15,'Measures-Medidas'!AO15)</f>
        <v>0</v>
      </c>
      <c r="W15" s="20">
        <f>SUM('Measures-Medidas'!AP15,'Measures-Medidas'!AQ15)</f>
        <v>0</v>
      </c>
      <c r="X15" s="21"/>
      <c r="Y15" s="22">
        <f>SUM('Measures-Medidas'!D15,'Measures-Medidas'!F15,'Measures-Medidas'!H15,'Measures-Medidas'!J15,'Measures-Medidas'!L15,'Measures-Medidas'!N15,'Measures-Medidas'!P15,'Measures-Medidas'!R15,'Measures-Medidas'!T15,'Measures-Medidas'!V15,'Measures-Medidas'!X15,'Measures-Medidas'!Z15,'Measures-Medidas'!AB15,'Measures-Medidas'!AD15,'Measures-Medidas'!AF15,'Measures-Medidas'!AH15,'Measures-Medidas'!AJ15,'Measures-Medidas'!AL15,'Measures-Medidas'!AN15,'Measures-Medidas'!AP15)</f>
        <v>80.5</v>
      </c>
      <c r="Z15" s="22">
        <f>SUM('Measures-Medidas'!E15,'Measures-Medidas'!G15,'Measures-Medidas'!I15,'Measures-Medidas'!K15,'Measures-Medidas'!M15,'Measures-Medidas'!O15,'Measures-Medidas'!Q15,'Measures-Medidas'!S15,'Measures-Medidas'!U15,'Measures-Medidas'!W15,'Measures-Medidas'!Y15,'Measures-Medidas'!AA15,'Measures-Medidas'!AC15,'Measures-Medidas'!AE15,'Measures-Medidas'!AG15,'Measures-Medidas'!AI15,'Measures-Medidas'!AK15,'Measures-Medidas'!AM15,'Measures-Medidas'!AO15,'Measures-Medidas'!AQ15)</f>
        <v>81.5</v>
      </c>
      <c r="AA15" s="22">
        <f t="shared" si="3"/>
        <v>162</v>
      </c>
      <c r="AB15" s="23"/>
      <c r="AC15" s="22">
        <f t="shared" si="0"/>
        <v>4.0250000000000004</v>
      </c>
      <c r="AD15" s="22">
        <f t="shared" si="1"/>
        <v>40.75</v>
      </c>
      <c r="AE15" s="22">
        <f t="shared" si="2"/>
        <v>4.05</v>
      </c>
    </row>
    <row r="16" spans="2:31">
      <c r="B16" s="27">
        <f>'Measures-Medidas'!B16</f>
        <v>7</v>
      </c>
      <c r="C16" s="17" t="str">
        <f>'Measures-Medidas'!C16</f>
        <v>Biceps sf</v>
      </c>
      <c r="D16" s="20">
        <f>SUM('Measures-Medidas'!D16,'Measures-Medidas'!E16)</f>
        <v>0</v>
      </c>
      <c r="E16" s="20">
        <f>SUM('Measures-Medidas'!F16,'Measures-Medidas'!G16)</f>
        <v>0</v>
      </c>
      <c r="F16" s="20">
        <f>SUM('Measures-Medidas'!H16,'Measures-Medidas'!I16)</f>
        <v>0</v>
      </c>
      <c r="G16" s="20">
        <f>SUM('Measures-Medidas'!J16,'Measures-Medidas'!K16)</f>
        <v>0</v>
      </c>
      <c r="H16" s="20">
        <f>SUM('Measures-Medidas'!L16,'Measures-Medidas'!M16)</f>
        <v>0</v>
      </c>
      <c r="I16" s="20">
        <f>SUM('Measures-Medidas'!N16,'Measures-Medidas'!O16)</f>
        <v>0</v>
      </c>
      <c r="J16" s="20">
        <f>SUM('Measures-Medidas'!P16,'Measures-Medidas'!Q16)</f>
        <v>7</v>
      </c>
      <c r="K16" s="20">
        <f>SUM('Measures-Medidas'!R16,'Measures-Medidas'!S16)</f>
        <v>6</v>
      </c>
      <c r="L16" s="20">
        <f>SUM('Measures-Medidas'!T16,'Measures-Medidas'!U16)</f>
        <v>0</v>
      </c>
      <c r="M16" s="20">
        <f>SUM('Measures-Medidas'!V16,'Measures-Medidas'!W16)</f>
        <v>6</v>
      </c>
      <c r="N16" s="20">
        <f>SUM('Measures-Medidas'!X16,'Measures-Medidas'!Y16)</f>
        <v>6</v>
      </c>
      <c r="O16" s="20">
        <f>SUM('Measures-Medidas'!Z16,'Measures-Medidas'!AA16)</f>
        <v>3</v>
      </c>
      <c r="P16" s="20">
        <f>SUM('Measures-Medidas'!AB16,'Measures-Medidas'!AC16)</f>
        <v>2</v>
      </c>
      <c r="Q16" s="20">
        <f>SUM('Measures-Medidas'!AD16,'Measures-Medidas'!AE16)</f>
        <v>8</v>
      </c>
      <c r="R16" s="20">
        <f>SUM('Measures-Medidas'!AF16,'Measures-Medidas'!AG16)</f>
        <v>0</v>
      </c>
      <c r="S16" s="20">
        <f>SUM('Measures-Medidas'!AH16,'Measures-Medidas'!AI16)</f>
        <v>0</v>
      </c>
      <c r="T16" s="20">
        <f>SUM('Measures-Medidas'!AJ16,'Measures-Medidas'!AK16)</f>
        <v>0</v>
      </c>
      <c r="U16" s="20">
        <f>SUM('Measures-Medidas'!AL16,'Measures-Medidas'!AM16)</f>
        <v>6.5</v>
      </c>
      <c r="V16" s="20">
        <f>SUM('Measures-Medidas'!AN16,'Measures-Medidas'!AO16)</f>
        <v>0</v>
      </c>
      <c r="W16" s="20">
        <f>SUM('Measures-Medidas'!AP16,'Measures-Medidas'!AQ16)</f>
        <v>0</v>
      </c>
      <c r="X16" s="21"/>
      <c r="Y16" s="22">
        <f>SUM('Measures-Medidas'!D16,'Measures-Medidas'!F16,'Measures-Medidas'!H16,'Measures-Medidas'!J16,'Measures-Medidas'!L16,'Measures-Medidas'!N16,'Measures-Medidas'!P16,'Measures-Medidas'!R16,'Measures-Medidas'!T16,'Measures-Medidas'!V16,'Measures-Medidas'!X16,'Measures-Medidas'!Z16,'Measures-Medidas'!AB16,'Measures-Medidas'!AD16,'Measures-Medidas'!AF16,'Measures-Medidas'!AH16,'Measures-Medidas'!AJ16,'Measures-Medidas'!AL16,'Measures-Medidas'!AN16,'Measures-Medidas'!AP16)</f>
        <v>22</v>
      </c>
      <c r="Z16" s="22">
        <f>SUM('Measures-Medidas'!E16,'Measures-Medidas'!G16,'Measures-Medidas'!I16,'Measures-Medidas'!K16,'Measures-Medidas'!M16,'Measures-Medidas'!O16,'Measures-Medidas'!Q16,'Measures-Medidas'!S16,'Measures-Medidas'!U16,'Measures-Medidas'!W16,'Measures-Medidas'!Y16,'Measures-Medidas'!AA16,'Measures-Medidas'!AC16,'Measures-Medidas'!AE16,'Measures-Medidas'!AG16,'Measures-Medidas'!AI16,'Measures-Medidas'!AK16,'Measures-Medidas'!AM16,'Measures-Medidas'!AO16,'Measures-Medidas'!AQ16)</f>
        <v>22.5</v>
      </c>
      <c r="AA16" s="22">
        <f t="shared" si="3"/>
        <v>44.5</v>
      </c>
      <c r="AB16" s="23"/>
      <c r="AC16" s="22">
        <f t="shared" si="0"/>
        <v>1.1000000000000001</v>
      </c>
      <c r="AD16" s="22">
        <f t="shared" si="1"/>
        <v>11.25</v>
      </c>
      <c r="AE16" s="22">
        <f t="shared" si="2"/>
        <v>1.1125</v>
      </c>
    </row>
    <row r="17" spans="2:31">
      <c r="B17" s="27">
        <f>'Measures-Medidas'!B17</f>
        <v>8</v>
      </c>
      <c r="C17" s="17" t="str">
        <f>'Measures-Medidas'!C17</f>
        <v>Iliac crest sf</v>
      </c>
      <c r="D17" s="20">
        <f>SUM('Measures-Medidas'!D17,'Measures-Medidas'!E17)</f>
        <v>0</v>
      </c>
      <c r="E17" s="20">
        <f>SUM('Measures-Medidas'!F17,'Measures-Medidas'!G17)</f>
        <v>0</v>
      </c>
      <c r="F17" s="20">
        <f>SUM('Measures-Medidas'!H17,'Measures-Medidas'!I17)</f>
        <v>0</v>
      </c>
      <c r="G17" s="20">
        <f>SUM('Measures-Medidas'!J17,'Measures-Medidas'!K17)</f>
        <v>0</v>
      </c>
      <c r="H17" s="20">
        <f>SUM('Measures-Medidas'!L17,'Measures-Medidas'!M17)</f>
        <v>0</v>
      </c>
      <c r="I17" s="20">
        <f>SUM('Measures-Medidas'!N17,'Measures-Medidas'!O17)</f>
        <v>0</v>
      </c>
      <c r="J17" s="20">
        <f>SUM('Measures-Medidas'!P17,'Measures-Medidas'!Q17)</f>
        <v>28</v>
      </c>
      <c r="K17" s="20">
        <f>SUM('Measures-Medidas'!R17,'Measures-Medidas'!S17)</f>
        <v>28</v>
      </c>
      <c r="L17" s="20">
        <f>SUM('Measures-Medidas'!T17,'Measures-Medidas'!U17)</f>
        <v>0</v>
      </c>
      <c r="M17" s="20">
        <f>SUM('Measures-Medidas'!V17,'Measures-Medidas'!W17)</f>
        <v>50</v>
      </c>
      <c r="N17" s="20">
        <f>SUM('Measures-Medidas'!X17,'Measures-Medidas'!Y17)</f>
        <v>44</v>
      </c>
      <c r="O17" s="20">
        <f>SUM('Measures-Medidas'!Z17,'Measures-Medidas'!AA17)</f>
        <v>20</v>
      </c>
      <c r="P17" s="20">
        <f>SUM('Measures-Medidas'!AB17,'Measures-Medidas'!AC17)</f>
        <v>11</v>
      </c>
      <c r="Q17" s="20">
        <f>SUM('Measures-Medidas'!AD17,'Measures-Medidas'!AE17)</f>
        <v>46</v>
      </c>
      <c r="R17" s="20">
        <f>SUM('Measures-Medidas'!AF17,'Measures-Medidas'!AG17)</f>
        <v>0</v>
      </c>
      <c r="S17" s="20">
        <f>SUM('Measures-Medidas'!AH17,'Measures-Medidas'!AI17)</f>
        <v>0</v>
      </c>
      <c r="T17" s="20">
        <f>SUM('Measures-Medidas'!AJ17,'Measures-Medidas'!AK17)</f>
        <v>0</v>
      </c>
      <c r="U17" s="20">
        <f>SUM('Measures-Medidas'!AL17,'Measures-Medidas'!AM17)</f>
        <v>55</v>
      </c>
      <c r="V17" s="20">
        <f>SUM('Measures-Medidas'!AN17,'Measures-Medidas'!AO17)</f>
        <v>0</v>
      </c>
      <c r="W17" s="20">
        <f>SUM('Measures-Medidas'!AP17,'Measures-Medidas'!AQ17)</f>
        <v>53</v>
      </c>
      <c r="X17" s="21"/>
      <c r="Y17" s="22">
        <f>SUM('Measures-Medidas'!D17,'Measures-Medidas'!F17,'Measures-Medidas'!H17,'Measures-Medidas'!J17,'Measures-Medidas'!L17,'Measures-Medidas'!N17,'Measures-Medidas'!P17,'Measures-Medidas'!R17,'Measures-Medidas'!T17,'Measures-Medidas'!V17,'Measures-Medidas'!X17,'Measures-Medidas'!Z17,'Measures-Medidas'!AB17,'Measures-Medidas'!AD17,'Measures-Medidas'!AF17,'Measures-Medidas'!AH17,'Measures-Medidas'!AJ17,'Measures-Medidas'!AL17,'Measures-Medidas'!AN17,'Measures-Medidas'!AP17)</f>
        <v>166.5</v>
      </c>
      <c r="Z17" s="22">
        <f>SUM('Measures-Medidas'!E17,'Measures-Medidas'!G17,'Measures-Medidas'!I17,'Measures-Medidas'!K17,'Measures-Medidas'!M17,'Measures-Medidas'!O17,'Measures-Medidas'!Q17,'Measures-Medidas'!S17,'Measures-Medidas'!U17,'Measures-Medidas'!W17,'Measures-Medidas'!Y17,'Measures-Medidas'!AA17,'Measures-Medidas'!AC17,'Measures-Medidas'!AE17,'Measures-Medidas'!AG17,'Measures-Medidas'!AI17,'Measures-Medidas'!AK17,'Measures-Medidas'!AM17,'Measures-Medidas'!AO17,'Measures-Medidas'!AQ17)</f>
        <v>168.5</v>
      </c>
      <c r="AA17" s="22">
        <f t="shared" si="3"/>
        <v>335</v>
      </c>
      <c r="AB17" s="23"/>
      <c r="AC17" s="22">
        <f t="shared" si="0"/>
        <v>8.3249999999999993</v>
      </c>
      <c r="AD17" s="22">
        <f t="shared" si="1"/>
        <v>84.25</v>
      </c>
      <c r="AE17" s="22">
        <f t="shared" si="2"/>
        <v>8.375</v>
      </c>
    </row>
    <row r="18" spans="2:31">
      <c r="B18" s="27">
        <f>'Measures-Medidas'!B18</f>
        <v>9</v>
      </c>
      <c r="C18" s="17" t="str">
        <f>'Measures-Medidas'!C18</f>
        <v>Supraspinale sf</v>
      </c>
      <c r="D18" s="20">
        <f>SUM('Measures-Medidas'!D18,'Measures-Medidas'!E18)</f>
        <v>0</v>
      </c>
      <c r="E18" s="20">
        <f>SUM('Measures-Medidas'!F18,'Measures-Medidas'!G18)</f>
        <v>0</v>
      </c>
      <c r="F18" s="20">
        <f>SUM('Measures-Medidas'!H18,'Measures-Medidas'!I18)</f>
        <v>0</v>
      </c>
      <c r="G18" s="20">
        <f>SUM('Measures-Medidas'!J18,'Measures-Medidas'!K18)</f>
        <v>0</v>
      </c>
      <c r="H18" s="20">
        <f>SUM('Measures-Medidas'!L18,'Measures-Medidas'!M18)</f>
        <v>0</v>
      </c>
      <c r="I18" s="20">
        <f>SUM('Measures-Medidas'!N18,'Measures-Medidas'!O18)</f>
        <v>0</v>
      </c>
      <c r="J18" s="20">
        <f>SUM('Measures-Medidas'!P18,'Measures-Medidas'!Q18)</f>
        <v>10</v>
      </c>
      <c r="K18" s="20">
        <f>SUM('Measures-Medidas'!R18,'Measures-Medidas'!S18)</f>
        <v>16</v>
      </c>
      <c r="L18" s="20">
        <f>SUM('Measures-Medidas'!T18,'Measures-Medidas'!U18)</f>
        <v>0</v>
      </c>
      <c r="M18" s="20">
        <f>SUM('Measures-Medidas'!V18,'Measures-Medidas'!W18)</f>
        <v>12</v>
      </c>
      <c r="N18" s="20">
        <f>SUM('Measures-Medidas'!X18,'Measures-Medidas'!Y18)</f>
        <v>20</v>
      </c>
      <c r="O18" s="20">
        <f>SUM('Measures-Medidas'!Z18,'Measures-Medidas'!AA18)</f>
        <v>10</v>
      </c>
      <c r="P18" s="20">
        <f>SUM('Measures-Medidas'!AB18,'Measures-Medidas'!AC18)</f>
        <v>9</v>
      </c>
      <c r="Q18" s="20">
        <f>SUM('Measures-Medidas'!AD18,'Measures-Medidas'!AE18)</f>
        <v>22</v>
      </c>
      <c r="R18" s="20">
        <f>SUM('Measures-Medidas'!AF18,'Measures-Medidas'!AG18)</f>
        <v>0</v>
      </c>
      <c r="S18" s="20">
        <f>SUM('Measures-Medidas'!AH18,'Measures-Medidas'!AI18)</f>
        <v>0</v>
      </c>
      <c r="T18" s="20">
        <f>SUM('Measures-Medidas'!AJ18,'Measures-Medidas'!AK18)</f>
        <v>0</v>
      </c>
      <c r="U18" s="20">
        <f>SUM('Measures-Medidas'!AL18,'Measures-Medidas'!AM18)</f>
        <v>20.5</v>
      </c>
      <c r="V18" s="20">
        <f>SUM('Measures-Medidas'!AN18,'Measures-Medidas'!AO18)</f>
        <v>0</v>
      </c>
      <c r="W18" s="20">
        <f>SUM('Measures-Medidas'!AP18,'Measures-Medidas'!AQ18)</f>
        <v>19</v>
      </c>
      <c r="X18" s="21"/>
      <c r="Y18" s="22">
        <f>SUM('Measures-Medidas'!D18,'Measures-Medidas'!F18,'Measures-Medidas'!H18,'Measures-Medidas'!J18,'Measures-Medidas'!L18,'Measures-Medidas'!N18,'Measures-Medidas'!P18,'Measures-Medidas'!R18,'Measures-Medidas'!T18,'Measures-Medidas'!V18,'Measures-Medidas'!X18,'Measures-Medidas'!Z18,'Measures-Medidas'!AB18,'Measures-Medidas'!AD18,'Measures-Medidas'!AF18,'Measures-Medidas'!AH18,'Measures-Medidas'!AJ18,'Measures-Medidas'!AL18,'Measures-Medidas'!AN18,'Measures-Medidas'!AP18)</f>
        <v>69</v>
      </c>
      <c r="Z18" s="22">
        <f>SUM('Measures-Medidas'!E18,'Measures-Medidas'!G18,'Measures-Medidas'!I18,'Measures-Medidas'!K18,'Measures-Medidas'!M18,'Measures-Medidas'!O18,'Measures-Medidas'!Q18,'Measures-Medidas'!S18,'Measures-Medidas'!U18,'Measures-Medidas'!W18,'Measures-Medidas'!Y18,'Measures-Medidas'!AA18,'Measures-Medidas'!AC18,'Measures-Medidas'!AE18,'Measures-Medidas'!AG18,'Measures-Medidas'!AI18,'Measures-Medidas'!AK18,'Measures-Medidas'!AM18,'Measures-Medidas'!AO18,'Measures-Medidas'!AQ18)</f>
        <v>69.5</v>
      </c>
      <c r="AA18" s="22">
        <f t="shared" si="3"/>
        <v>138.5</v>
      </c>
      <c r="AB18" s="23"/>
      <c r="AC18" s="22">
        <f t="shared" si="0"/>
        <v>3.45</v>
      </c>
      <c r="AD18" s="22">
        <f t="shared" si="1"/>
        <v>34.75</v>
      </c>
      <c r="AE18" s="22">
        <f t="shared" si="2"/>
        <v>3.4624999999999999</v>
      </c>
    </row>
    <row r="19" spans="2:31">
      <c r="B19" s="27">
        <f>'Measures-Medidas'!B19</f>
        <v>10</v>
      </c>
      <c r="C19" s="17" t="str">
        <f>'Measures-Medidas'!C19</f>
        <v>Abdominal sf</v>
      </c>
      <c r="D19" s="20">
        <f>SUM('Measures-Medidas'!D19,'Measures-Medidas'!E19)</f>
        <v>0</v>
      </c>
      <c r="E19" s="20">
        <f>SUM('Measures-Medidas'!F19,'Measures-Medidas'!G19)</f>
        <v>0</v>
      </c>
      <c r="F19" s="20">
        <f>SUM('Measures-Medidas'!H19,'Measures-Medidas'!I19)</f>
        <v>0</v>
      </c>
      <c r="G19" s="20">
        <f>SUM('Measures-Medidas'!J19,'Measures-Medidas'!K19)</f>
        <v>0</v>
      </c>
      <c r="H19" s="20">
        <f>SUM('Measures-Medidas'!L19,'Measures-Medidas'!M19)</f>
        <v>0</v>
      </c>
      <c r="I19" s="20">
        <f>SUM('Measures-Medidas'!N19,'Measures-Medidas'!O19)</f>
        <v>0</v>
      </c>
      <c r="J19" s="20">
        <f>SUM('Measures-Medidas'!P19,'Measures-Medidas'!Q19)</f>
        <v>15</v>
      </c>
      <c r="K19" s="20">
        <f>SUM('Measures-Medidas'!R19,'Measures-Medidas'!S19)</f>
        <v>28</v>
      </c>
      <c r="L19" s="20">
        <f>SUM('Measures-Medidas'!T19,'Measures-Medidas'!U19)</f>
        <v>0</v>
      </c>
      <c r="M19" s="20">
        <f>SUM('Measures-Medidas'!V19,'Measures-Medidas'!W19)</f>
        <v>26</v>
      </c>
      <c r="N19" s="20">
        <f>SUM('Measures-Medidas'!X19,'Measures-Medidas'!Y19)</f>
        <v>31</v>
      </c>
      <c r="O19" s="20">
        <f>SUM('Measures-Medidas'!Z19,'Measures-Medidas'!AA19)</f>
        <v>14</v>
      </c>
      <c r="P19" s="20">
        <f>SUM('Measures-Medidas'!AB19,'Measures-Medidas'!AC19)</f>
        <v>9</v>
      </c>
      <c r="Q19" s="20">
        <f>SUM('Measures-Medidas'!AD19,'Measures-Medidas'!AE19)</f>
        <v>48</v>
      </c>
      <c r="R19" s="20">
        <f>SUM('Measures-Medidas'!AF19,'Measures-Medidas'!AG19)</f>
        <v>0</v>
      </c>
      <c r="S19" s="20">
        <f>SUM('Measures-Medidas'!AH19,'Measures-Medidas'!AI19)</f>
        <v>0</v>
      </c>
      <c r="T19" s="20">
        <f>SUM('Measures-Medidas'!AJ19,'Measures-Medidas'!AK19)</f>
        <v>0</v>
      </c>
      <c r="U19" s="20">
        <f>SUM('Measures-Medidas'!AL19,'Measures-Medidas'!AM19)</f>
        <v>58</v>
      </c>
      <c r="V19" s="20">
        <f>SUM('Measures-Medidas'!AN19,'Measures-Medidas'!AO19)</f>
        <v>0</v>
      </c>
      <c r="W19" s="20">
        <f>SUM('Measures-Medidas'!AP19,'Measures-Medidas'!AQ19)</f>
        <v>0</v>
      </c>
      <c r="X19" s="21"/>
      <c r="Y19" s="22">
        <f>SUM('Measures-Medidas'!D19,'Measures-Medidas'!F19,'Measures-Medidas'!H19,'Measures-Medidas'!J19,'Measures-Medidas'!L19,'Measures-Medidas'!N19,'Measures-Medidas'!P19,'Measures-Medidas'!R19,'Measures-Medidas'!T19,'Measures-Medidas'!V19,'Measures-Medidas'!X19,'Measures-Medidas'!Z19,'Measures-Medidas'!AB19,'Measures-Medidas'!AD19,'Measures-Medidas'!AF19,'Measures-Medidas'!AH19,'Measures-Medidas'!AJ19,'Measures-Medidas'!AL19,'Measures-Medidas'!AN19,'Measures-Medidas'!AP19)</f>
        <v>113.5</v>
      </c>
      <c r="Z19" s="22">
        <f>SUM('Measures-Medidas'!E19,'Measures-Medidas'!G19,'Measures-Medidas'!I19,'Measures-Medidas'!K19,'Measures-Medidas'!M19,'Measures-Medidas'!O19,'Measures-Medidas'!Q19,'Measures-Medidas'!S19,'Measures-Medidas'!U19,'Measures-Medidas'!W19,'Measures-Medidas'!Y19,'Measures-Medidas'!AA19,'Measures-Medidas'!AC19,'Measures-Medidas'!AE19,'Measures-Medidas'!AG19,'Measures-Medidas'!AI19,'Measures-Medidas'!AK19,'Measures-Medidas'!AM19,'Measures-Medidas'!AO19,'Measures-Medidas'!AQ19)</f>
        <v>115.5</v>
      </c>
      <c r="AA19" s="22">
        <f t="shared" si="3"/>
        <v>229</v>
      </c>
      <c r="AB19" s="23"/>
      <c r="AC19" s="22">
        <f t="shared" si="0"/>
        <v>5.6749999999999998</v>
      </c>
      <c r="AD19" s="22">
        <f t="shared" si="1"/>
        <v>57.75</v>
      </c>
      <c r="AE19" s="22">
        <f t="shared" si="2"/>
        <v>5.7249999999999996</v>
      </c>
    </row>
    <row r="20" spans="2:31">
      <c r="B20" s="27">
        <f>'Measures-Medidas'!B20</f>
        <v>11</v>
      </c>
      <c r="C20" s="17" t="str">
        <f>'Measures-Medidas'!C20</f>
        <v>Thigh sf</v>
      </c>
      <c r="D20" s="20">
        <f>SUM('Measures-Medidas'!D20,'Measures-Medidas'!E20)</f>
        <v>0</v>
      </c>
      <c r="E20" s="20">
        <f>SUM('Measures-Medidas'!F20,'Measures-Medidas'!G20)</f>
        <v>0</v>
      </c>
      <c r="F20" s="20">
        <f>SUM('Measures-Medidas'!H20,'Measures-Medidas'!I20)</f>
        <v>0</v>
      </c>
      <c r="G20" s="20">
        <f>SUM('Measures-Medidas'!J20,'Measures-Medidas'!K20)</f>
        <v>0</v>
      </c>
      <c r="H20" s="20">
        <f>SUM('Measures-Medidas'!L20,'Measures-Medidas'!M20)</f>
        <v>0</v>
      </c>
      <c r="I20" s="20">
        <f>SUM('Measures-Medidas'!N20,'Measures-Medidas'!O20)</f>
        <v>0</v>
      </c>
      <c r="J20" s="20">
        <f>SUM('Measures-Medidas'!P20,'Measures-Medidas'!Q20)</f>
        <v>18</v>
      </c>
      <c r="K20" s="20">
        <f>SUM('Measures-Medidas'!R20,'Measures-Medidas'!S20)</f>
        <v>24</v>
      </c>
      <c r="L20" s="20">
        <f>SUM('Measures-Medidas'!T20,'Measures-Medidas'!U20)</f>
        <v>0</v>
      </c>
      <c r="M20" s="20">
        <f>SUM('Measures-Medidas'!V20,'Measures-Medidas'!W20)</f>
        <v>26</v>
      </c>
      <c r="N20" s="20">
        <f>SUM('Measures-Medidas'!X20,'Measures-Medidas'!Y20)</f>
        <v>27</v>
      </c>
      <c r="O20" s="20">
        <f>SUM('Measures-Medidas'!Z20,'Measures-Medidas'!AA20)</f>
        <v>20</v>
      </c>
      <c r="P20" s="20">
        <f>SUM('Measures-Medidas'!AB20,'Measures-Medidas'!AC20)</f>
        <v>16</v>
      </c>
      <c r="Q20" s="20">
        <f>SUM('Measures-Medidas'!AD20,'Measures-Medidas'!AE20)</f>
        <v>22</v>
      </c>
      <c r="R20" s="20">
        <f>SUM('Measures-Medidas'!AF20,'Measures-Medidas'!AG20)</f>
        <v>0</v>
      </c>
      <c r="S20" s="20">
        <f>SUM('Measures-Medidas'!AH20,'Measures-Medidas'!AI20)</f>
        <v>0</v>
      </c>
      <c r="T20" s="20">
        <f>SUM('Measures-Medidas'!AJ20,'Measures-Medidas'!AK20)</f>
        <v>0</v>
      </c>
      <c r="U20" s="20">
        <f>SUM('Measures-Medidas'!AL20,'Measures-Medidas'!AM20)</f>
        <v>23</v>
      </c>
      <c r="V20" s="20">
        <f>SUM('Measures-Medidas'!AN20,'Measures-Medidas'!AO20)</f>
        <v>0</v>
      </c>
      <c r="W20" s="20">
        <f>SUM('Measures-Medidas'!AP20,'Measures-Medidas'!AQ20)</f>
        <v>0</v>
      </c>
      <c r="X20" s="21"/>
      <c r="Y20" s="22">
        <f>SUM('Measures-Medidas'!D20,'Measures-Medidas'!F20,'Measures-Medidas'!H20,'Measures-Medidas'!J20,'Measures-Medidas'!L20,'Measures-Medidas'!N20,'Measures-Medidas'!P20,'Measures-Medidas'!R20,'Measures-Medidas'!T20,'Measures-Medidas'!V20,'Measures-Medidas'!X20,'Measures-Medidas'!Z20,'Measures-Medidas'!AB20,'Measures-Medidas'!AD20,'Measures-Medidas'!AF20,'Measures-Medidas'!AH20,'Measures-Medidas'!AJ20,'Measures-Medidas'!AL20,'Measures-Medidas'!AN20,'Measures-Medidas'!AP20)</f>
        <v>86.5</v>
      </c>
      <c r="Z20" s="22">
        <f>SUM('Measures-Medidas'!E20,'Measures-Medidas'!G20,'Measures-Medidas'!I20,'Measures-Medidas'!K20,'Measures-Medidas'!M20,'Measures-Medidas'!O20,'Measures-Medidas'!Q20,'Measures-Medidas'!S20,'Measures-Medidas'!U20,'Measures-Medidas'!W20,'Measures-Medidas'!Y20,'Measures-Medidas'!AA20,'Measures-Medidas'!AC20,'Measures-Medidas'!AE20,'Measures-Medidas'!AG20,'Measures-Medidas'!AI20,'Measures-Medidas'!AK20,'Measures-Medidas'!AM20,'Measures-Medidas'!AO20,'Measures-Medidas'!AQ20)</f>
        <v>89.5</v>
      </c>
      <c r="AA20" s="22">
        <f t="shared" ref="AA20:AA26" si="4">Y20+Z20</f>
        <v>176</v>
      </c>
      <c r="AB20" s="23"/>
      <c r="AC20" s="22">
        <f t="shared" si="0"/>
        <v>4.3250000000000002</v>
      </c>
      <c r="AD20" s="22">
        <f t="shared" si="1"/>
        <v>44.75</v>
      </c>
      <c r="AE20" s="22">
        <f t="shared" si="2"/>
        <v>4.4000000000000004</v>
      </c>
    </row>
    <row r="21" spans="2:31">
      <c r="B21" s="27">
        <f>'Measures-Medidas'!B21</f>
        <v>12</v>
      </c>
      <c r="C21" s="17" t="str">
        <f>'Measures-Medidas'!C21</f>
        <v>Calf sf</v>
      </c>
      <c r="D21" s="20">
        <f>SUM('Measures-Medidas'!D21,'Measures-Medidas'!E21)</f>
        <v>0</v>
      </c>
      <c r="E21" s="20">
        <f>SUM('Measures-Medidas'!F21,'Measures-Medidas'!G21)</f>
        <v>0</v>
      </c>
      <c r="F21" s="20">
        <f>SUM('Measures-Medidas'!H21,'Measures-Medidas'!I21)</f>
        <v>0</v>
      </c>
      <c r="G21" s="20">
        <f>SUM('Measures-Medidas'!J21,'Measures-Medidas'!K21)</f>
        <v>0</v>
      </c>
      <c r="H21" s="20">
        <f>SUM('Measures-Medidas'!L21,'Measures-Medidas'!M21)</f>
        <v>0</v>
      </c>
      <c r="I21" s="20">
        <f>SUM('Measures-Medidas'!N21,'Measures-Medidas'!O21)</f>
        <v>0</v>
      </c>
      <c r="J21" s="20">
        <f>SUM('Measures-Medidas'!P21,'Measures-Medidas'!Q21)</f>
        <v>11</v>
      </c>
      <c r="K21" s="20">
        <f>SUM('Measures-Medidas'!R21,'Measures-Medidas'!S21)</f>
        <v>11</v>
      </c>
      <c r="L21" s="20">
        <f>SUM('Measures-Medidas'!T21,'Measures-Medidas'!U21)</f>
        <v>0</v>
      </c>
      <c r="M21" s="20">
        <f>SUM('Measures-Medidas'!V21,'Measures-Medidas'!W21)</f>
        <v>13</v>
      </c>
      <c r="N21" s="20">
        <f>SUM('Measures-Medidas'!X21,'Measures-Medidas'!Y21)</f>
        <v>12</v>
      </c>
      <c r="O21" s="20">
        <f>SUM('Measures-Medidas'!Z21,'Measures-Medidas'!AA21)</f>
        <v>14</v>
      </c>
      <c r="P21" s="20">
        <f>SUM('Measures-Medidas'!AB21,'Measures-Medidas'!AC21)</f>
        <v>11</v>
      </c>
      <c r="Q21" s="20">
        <f>SUM('Measures-Medidas'!AD21,'Measures-Medidas'!AE21)</f>
        <v>10</v>
      </c>
      <c r="R21" s="20">
        <f>SUM('Measures-Medidas'!AF21,'Measures-Medidas'!AG21)</f>
        <v>0</v>
      </c>
      <c r="S21" s="20">
        <f>SUM('Measures-Medidas'!AH21,'Measures-Medidas'!AI21)</f>
        <v>0</v>
      </c>
      <c r="T21" s="20">
        <f>SUM('Measures-Medidas'!AJ21,'Measures-Medidas'!AK21)</f>
        <v>0</v>
      </c>
      <c r="U21" s="20">
        <f>SUM('Measures-Medidas'!AL21,'Measures-Medidas'!AM21)</f>
        <v>12</v>
      </c>
      <c r="V21" s="20">
        <f>SUM('Measures-Medidas'!AN21,'Measures-Medidas'!AO21)</f>
        <v>0</v>
      </c>
      <c r="W21" s="20">
        <f>SUM('Measures-Medidas'!AP21,'Measures-Medidas'!AQ21)</f>
        <v>0</v>
      </c>
      <c r="X21" s="21"/>
      <c r="Y21" s="22">
        <f>SUM('Measures-Medidas'!D21,'Measures-Medidas'!F21,'Measures-Medidas'!H21,'Measures-Medidas'!J21,'Measures-Medidas'!L21,'Measures-Medidas'!N21,'Measures-Medidas'!P21,'Measures-Medidas'!R21,'Measures-Medidas'!T21,'Measures-Medidas'!V21,'Measures-Medidas'!X21,'Measures-Medidas'!Z21,'Measures-Medidas'!AB21,'Measures-Medidas'!AD21,'Measures-Medidas'!AF21,'Measures-Medidas'!AH21,'Measures-Medidas'!AJ21,'Measures-Medidas'!AL21,'Measures-Medidas'!AN21,'Measures-Medidas'!AP21)</f>
        <v>46</v>
      </c>
      <c r="Z21" s="22">
        <f>SUM('Measures-Medidas'!E21,'Measures-Medidas'!G21,'Measures-Medidas'!I21,'Measures-Medidas'!K21,'Measures-Medidas'!M21,'Measures-Medidas'!O21,'Measures-Medidas'!Q21,'Measures-Medidas'!S21,'Measures-Medidas'!U21,'Measures-Medidas'!W21,'Measures-Medidas'!Y21,'Measures-Medidas'!AA21,'Measures-Medidas'!AC21,'Measures-Medidas'!AE21,'Measures-Medidas'!AG21,'Measures-Medidas'!AI21,'Measures-Medidas'!AK21,'Measures-Medidas'!AM21,'Measures-Medidas'!AO21,'Measures-Medidas'!AQ21)</f>
        <v>48</v>
      </c>
      <c r="AA21" s="22">
        <f t="shared" si="4"/>
        <v>94</v>
      </c>
      <c r="AB21" s="23"/>
      <c r="AC21" s="22">
        <f t="shared" si="0"/>
        <v>2.2999999999999998</v>
      </c>
      <c r="AD21" s="22">
        <f t="shared" si="1"/>
        <v>24</v>
      </c>
      <c r="AE21" s="22">
        <f t="shared" si="2"/>
        <v>2.35</v>
      </c>
    </row>
    <row r="22" spans="2:31">
      <c r="B22" s="27">
        <f>'Measures-Medidas'!B22</f>
        <v>13</v>
      </c>
      <c r="C22" s="17" t="str">
        <f>'Measures-Medidas'!C22</f>
        <v>Arm girth relaxed</v>
      </c>
      <c r="D22" s="20">
        <f>SUM('Measures-Medidas'!D22,'Measures-Medidas'!E22)</f>
        <v>0</v>
      </c>
      <c r="E22" s="20">
        <f>SUM('Measures-Medidas'!F22,'Measures-Medidas'!G22)</f>
        <v>0</v>
      </c>
      <c r="F22" s="20">
        <f>SUM('Measures-Medidas'!H22,'Measures-Medidas'!I22)</f>
        <v>0</v>
      </c>
      <c r="G22" s="20">
        <f>SUM('Measures-Medidas'!J22,'Measures-Medidas'!K22)</f>
        <v>0</v>
      </c>
      <c r="H22" s="20">
        <f>SUM('Measures-Medidas'!L22,'Measures-Medidas'!M22)</f>
        <v>0</v>
      </c>
      <c r="I22" s="20">
        <f>SUM('Measures-Medidas'!N22,'Measures-Medidas'!O22)</f>
        <v>0</v>
      </c>
      <c r="J22" s="20">
        <f>SUM('Measures-Medidas'!P22,'Measures-Medidas'!Q22)</f>
        <v>69.599999999999994</v>
      </c>
      <c r="K22" s="20">
        <f>SUM('Measures-Medidas'!R22,'Measures-Medidas'!S22)</f>
        <v>50</v>
      </c>
      <c r="L22" s="20">
        <f>SUM('Measures-Medidas'!T22,'Measures-Medidas'!U22)</f>
        <v>0</v>
      </c>
      <c r="M22" s="20">
        <f>SUM('Measures-Medidas'!V22,'Measures-Medidas'!W22)</f>
        <v>68.900000000000006</v>
      </c>
      <c r="N22" s="20">
        <f>SUM('Measures-Medidas'!X22,'Measures-Medidas'!Y22)</f>
        <v>73</v>
      </c>
      <c r="O22" s="20">
        <f>SUM('Measures-Medidas'!Z22,'Measures-Medidas'!AA22)</f>
        <v>61</v>
      </c>
      <c r="P22" s="20">
        <f>SUM('Measures-Medidas'!AB22,'Measures-Medidas'!AC22)</f>
        <v>68</v>
      </c>
      <c r="Q22" s="20">
        <f>SUM('Measures-Medidas'!AD22,'Measures-Medidas'!AE22)</f>
        <v>67</v>
      </c>
      <c r="R22" s="20">
        <f>SUM('Measures-Medidas'!AF22,'Measures-Medidas'!AG22)</f>
        <v>0</v>
      </c>
      <c r="S22" s="20">
        <f>SUM('Measures-Medidas'!AH22,'Measures-Medidas'!AI22)</f>
        <v>0</v>
      </c>
      <c r="T22" s="20">
        <f>SUM('Measures-Medidas'!AJ22,'Measures-Medidas'!AK22)</f>
        <v>0</v>
      </c>
      <c r="U22" s="20">
        <f>SUM('Measures-Medidas'!AL22,'Measures-Medidas'!AM22)</f>
        <v>72.5</v>
      </c>
      <c r="V22" s="20">
        <f>SUM('Measures-Medidas'!AN22,'Measures-Medidas'!AO22)</f>
        <v>0</v>
      </c>
      <c r="W22" s="20">
        <f>SUM('Measures-Medidas'!AP22,'Measures-Medidas'!AQ22)</f>
        <v>0</v>
      </c>
      <c r="X22" s="21"/>
      <c r="Y22" s="22">
        <f>SUM('Measures-Medidas'!D22,'Measures-Medidas'!F22,'Measures-Medidas'!H22,'Measures-Medidas'!J22,'Measures-Medidas'!L22,'Measures-Medidas'!N22,'Measures-Medidas'!P22,'Measures-Medidas'!R22,'Measures-Medidas'!T22,'Measures-Medidas'!V22,'Measures-Medidas'!X22,'Measures-Medidas'!Z22,'Measures-Medidas'!AB22,'Measures-Medidas'!AD22,'Measures-Medidas'!AF22,'Measures-Medidas'!AH22,'Measures-Medidas'!AJ22,'Measures-Medidas'!AL22,'Measures-Medidas'!AN22,'Measures-Medidas'!AP22)</f>
        <v>264.8</v>
      </c>
      <c r="Z22" s="22">
        <f>SUM('Measures-Medidas'!E22,'Measures-Medidas'!G22,'Measures-Medidas'!I22,'Measures-Medidas'!K22,'Measures-Medidas'!M22,'Measures-Medidas'!O22,'Measures-Medidas'!Q22,'Measures-Medidas'!S22,'Measures-Medidas'!U22,'Measures-Medidas'!W22,'Measures-Medidas'!Y22,'Measures-Medidas'!AA22,'Measures-Medidas'!AC22,'Measures-Medidas'!AE22,'Measures-Medidas'!AG22,'Measures-Medidas'!AI22,'Measures-Medidas'!AK22,'Measures-Medidas'!AM22,'Measures-Medidas'!AO22,'Measures-Medidas'!AQ22)</f>
        <v>265.2</v>
      </c>
      <c r="AA22" s="22">
        <f t="shared" si="4"/>
        <v>530</v>
      </c>
      <c r="AB22" s="23"/>
      <c r="AC22" s="22">
        <f t="shared" si="0"/>
        <v>13.24</v>
      </c>
      <c r="AD22" s="22">
        <f t="shared" si="1"/>
        <v>132.6</v>
      </c>
      <c r="AE22" s="22">
        <f t="shared" si="2"/>
        <v>13.25</v>
      </c>
    </row>
    <row r="23" spans="2:31">
      <c r="B23" s="27">
        <f>'Measures-Medidas'!B23</f>
        <v>14</v>
      </c>
      <c r="C23" s="17" t="str">
        <f>'Measures-Medidas'!C23</f>
        <v>Arm girth flexed and tensed</v>
      </c>
      <c r="D23" s="20">
        <f>SUM('Measures-Medidas'!D23,'Measures-Medidas'!E23)</f>
        <v>0</v>
      </c>
      <c r="E23" s="20">
        <f>SUM('Measures-Medidas'!F23,'Measures-Medidas'!G23)</f>
        <v>0</v>
      </c>
      <c r="F23" s="20">
        <f>SUM('Measures-Medidas'!H23,'Measures-Medidas'!I23)</f>
        <v>0</v>
      </c>
      <c r="G23" s="20">
        <f>SUM('Measures-Medidas'!J23,'Measures-Medidas'!K23)</f>
        <v>0</v>
      </c>
      <c r="H23" s="20">
        <f>SUM('Measures-Medidas'!L23,'Measures-Medidas'!M23)</f>
        <v>0</v>
      </c>
      <c r="I23" s="20">
        <f>SUM('Measures-Medidas'!N23,'Measures-Medidas'!O23)</f>
        <v>0</v>
      </c>
      <c r="J23" s="20">
        <f>SUM('Measures-Medidas'!P23,'Measures-Medidas'!Q23)</f>
        <v>76.599999999999994</v>
      </c>
      <c r="K23" s="20">
        <f>SUM('Measures-Medidas'!R23,'Measures-Medidas'!S23)</f>
        <v>52.4</v>
      </c>
      <c r="L23" s="20">
        <f>SUM('Measures-Medidas'!T23,'Measures-Medidas'!U23)</f>
        <v>0</v>
      </c>
      <c r="M23" s="20">
        <f>SUM('Measures-Medidas'!V23,'Measures-Medidas'!W23)</f>
        <v>74.300000000000011</v>
      </c>
      <c r="N23" s="20">
        <f>SUM('Measures-Medidas'!X23,'Measures-Medidas'!Y23)</f>
        <v>79.55</v>
      </c>
      <c r="O23" s="20">
        <f>SUM('Measures-Medidas'!Z23,'Measures-Medidas'!AA23)</f>
        <v>66</v>
      </c>
      <c r="P23" s="20">
        <f>SUM('Measures-Medidas'!AB23,'Measures-Medidas'!AC23)</f>
        <v>78</v>
      </c>
      <c r="Q23" s="20">
        <f>SUM('Measures-Medidas'!AD23,'Measures-Medidas'!AE23)</f>
        <v>75</v>
      </c>
      <c r="R23" s="20">
        <f>SUM('Measures-Medidas'!AF23,'Measures-Medidas'!AG23)</f>
        <v>0</v>
      </c>
      <c r="S23" s="20">
        <f>SUM('Measures-Medidas'!AH23,'Measures-Medidas'!AI23)</f>
        <v>0</v>
      </c>
      <c r="T23" s="20">
        <f>SUM('Measures-Medidas'!AJ23,'Measures-Medidas'!AK23)</f>
        <v>0</v>
      </c>
      <c r="U23" s="20">
        <f>SUM('Measures-Medidas'!AL23,'Measures-Medidas'!AM23)</f>
        <v>78</v>
      </c>
      <c r="V23" s="20">
        <f>SUM('Measures-Medidas'!AN23,'Measures-Medidas'!AO23)</f>
        <v>0</v>
      </c>
      <c r="W23" s="20">
        <f>SUM('Measures-Medidas'!AP23,'Measures-Medidas'!AQ23)</f>
        <v>0</v>
      </c>
      <c r="X23" s="21"/>
      <c r="Y23" s="22">
        <f>SUM('Measures-Medidas'!D23,'Measures-Medidas'!F23,'Measures-Medidas'!H23,'Measures-Medidas'!J23,'Measures-Medidas'!L23,'Measures-Medidas'!N23,'Measures-Medidas'!P23,'Measures-Medidas'!R23,'Measures-Medidas'!T23,'Measures-Medidas'!V23,'Measures-Medidas'!X23,'Measures-Medidas'!Z23,'Measures-Medidas'!AB23,'Measures-Medidas'!AD23,'Measures-Medidas'!AF23,'Measures-Medidas'!AH23,'Measures-Medidas'!AJ23,'Measures-Medidas'!AL23,'Measures-Medidas'!AN23,'Measures-Medidas'!AP23)</f>
        <v>289.85000000000002</v>
      </c>
      <c r="Z23" s="22">
        <f>SUM('Measures-Medidas'!E23,'Measures-Medidas'!G23,'Measures-Medidas'!I23,'Measures-Medidas'!K23,'Measures-Medidas'!M23,'Measures-Medidas'!O23,'Measures-Medidas'!Q23,'Measures-Medidas'!S23,'Measures-Medidas'!U23,'Measures-Medidas'!W23,'Measures-Medidas'!Y23,'Measures-Medidas'!AA23,'Measures-Medidas'!AC23,'Measures-Medidas'!AE23,'Measures-Medidas'!AG23,'Measures-Medidas'!AI23,'Measures-Medidas'!AK23,'Measures-Medidas'!AM23,'Measures-Medidas'!AO23,'Measures-Medidas'!AQ23)</f>
        <v>290</v>
      </c>
      <c r="AA23" s="22">
        <f t="shared" si="4"/>
        <v>579.85</v>
      </c>
      <c r="AB23" s="23"/>
      <c r="AC23" s="22">
        <f t="shared" si="0"/>
        <v>14.492500000000001</v>
      </c>
      <c r="AD23" s="22">
        <f t="shared" si="1"/>
        <v>145</v>
      </c>
      <c r="AE23" s="22">
        <f t="shared" si="2"/>
        <v>14.49625</v>
      </c>
    </row>
    <row r="24" spans="2:31">
      <c r="B24" s="27">
        <f>'Measures-Medidas'!B24</f>
        <v>15</v>
      </c>
      <c r="C24" s="17" t="str">
        <f>'Measures-Medidas'!C24</f>
        <v>Waist girth</v>
      </c>
      <c r="D24" s="20">
        <f>SUM('Measures-Medidas'!D24,'Measures-Medidas'!E24)</f>
        <v>0</v>
      </c>
      <c r="E24" s="20">
        <f>SUM('Measures-Medidas'!F24,'Measures-Medidas'!G24)</f>
        <v>0</v>
      </c>
      <c r="F24" s="20">
        <f>SUM('Measures-Medidas'!H24,'Measures-Medidas'!I24)</f>
        <v>0</v>
      </c>
      <c r="G24" s="20">
        <f>SUM('Measures-Medidas'!J24,'Measures-Medidas'!K24)</f>
        <v>0</v>
      </c>
      <c r="H24" s="20">
        <f>SUM('Measures-Medidas'!L24,'Measures-Medidas'!M24)</f>
        <v>0</v>
      </c>
      <c r="I24" s="20">
        <f>SUM('Measures-Medidas'!N24,'Measures-Medidas'!O24)</f>
        <v>0</v>
      </c>
      <c r="J24" s="20">
        <f>SUM('Measures-Medidas'!P24,'Measures-Medidas'!Q24)</f>
        <v>155</v>
      </c>
      <c r="K24" s="20">
        <f>SUM('Measures-Medidas'!R24,'Measures-Medidas'!S24)</f>
        <v>129</v>
      </c>
      <c r="L24" s="20">
        <f>SUM('Measures-Medidas'!T24,'Measures-Medidas'!U24)</f>
        <v>0</v>
      </c>
      <c r="M24" s="20">
        <f>SUM('Measures-Medidas'!V24,'Measures-Medidas'!W24)</f>
        <v>152</v>
      </c>
      <c r="N24" s="20">
        <f>SUM('Measures-Medidas'!X24,'Measures-Medidas'!Y24)</f>
        <v>161</v>
      </c>
      <c r="O24" s="20">
        <f>SUM('Measures-Medidas'!Z24,'Measures-Medidas'!AA24)</f>
        <v>156</v>
      </c>
      <c r="P24" s="20">
        <f>SUM('Measures-Medidas'!AB24,'Measures-Medidas'!AC24)</f>
        <v>157.5</v>
      </c>
      <c r="Q24" s="20">
        <f>SUM('Measures-Medidas'!AD24,'Measures-Medidas'!AE24)</f>
        <v>166</v>
      </c>
      <c r="R24" s="20">
        <f>SUM('Measures-Medidas'!AF24,'Measures-Medidas'!AG24)</f>
        <v>0</v>
      </c>
      <c r="S24" s="20">
        <f>SUM('Measures-Medidas'!AH24,'Measures-Medidas'!AI24)</f>
        <v>0</v>
      </c>
      <c r="T24" s="20">
        <f>SUM('Measures-Medidas'!AJ24,'Measures-Medidas'!AK24)</f>
        <v>0</v>
      </c>
      <c r="U24" s="20">
        <f>SUM('Measures-Medidas'!AL24,'Measures-Medidas'!AM24)</f>
        <v>163</v>
      </c>
      <c r="V24" s="20">
        <f>SUM('Measures-Medidas'!AN24,'Measures-Medidas'!AO24)</f>
        <v>0</v>
      </c>
      <c r="W24" s="20">
        <f>SUM('Measures-Medidas'!AP24,'Measures-Medidas'!AQ24)</f>
        <v>132</v>
      </c>
      <c r="X24" s="21"/>
      <c r="Y24" s="22">
        <f>SUM('Measures-Medidas'!D24,'Measures-Medidas'!F24,'Measures-Medidas'!H24,'Measures-Medidas'!J24,'Measures-Medidas'!L24,'Measures-Medidas'!N24,'Measures-Medidas'!P24,'Measures-Medidas'!R24,'Measures-Medidas'!T24,'Measures-Medidas'!V24,'Measures-Medidas'!X24,'Measures-Medidas'!Z24,'Measures-Medidas'!AB24,'Measures-Medidas'!AD24,'Measures-Medidas'!AF24,'Measures-Medidas'!AH24,'Measures-Medidas'!AJ24,'Measures-Medidas'!AL24,'Measures-Medidas'!AN24,'Measures-Medidas'!AP24)</f>
        <v>685.2</v>
      </c>
      <c r="Z24" s="22">
        <f>SUM('Measures-Medidas'!E24,'Measures-Medidas'!G24,'Measures-Medidas'!I24,'Measures-Medidas'!K24,'Measures-Medidas'!M24,'Measures-Medidas'!O24,'Measures-Medidas'!Q24,'Measures-Medidas'!S24,'Measures-Medidas'!U24,'Measures-Medidas'!W24,'Measures-Medidas'!Y24,'Measures-Medidas'!AA24,'Measures-Medidas'!AC24,'Measures-Medidas'!AE24,'Measures-Medidas'!AG24,'Measures-Medidas'!AI24,'Measures-Medidas'!AK24,'Measures-Medidas'!AM24,'Measures-Medidas'!AO24,'Measures-Medidas'!AQ24)</f>
        <v>686.3</v>
      </c>
      <c r="AA24" s="22">
        <f t="shared" si="4"/>
        <v>1371.5</v>
      </c>
      <c r="AB24" s="23"/>
      <c r="AC24" s="22">
        <f t="shared" si="0"/>
        <v>34.260000000000005</v>
      </c>
      <c r="AD24" s="22">
        <f t="shared" si="1"/>
        <v>343.15</v>
      </c>
      <c r="AE24" s="22">
        <f t="shared" si="2"/>
        <v>34.287500000000001</v>
      </c>
    </row>
    <row r="25" spans="2:31">
      <c r="B25" s="27">
        <f>'Measures-Medidas'!B25</f>
        <v>16</v>
      </c>
      <c r="C25" s="17" t="str">
        <f>'Measures-Medidas'!C25</f>
        <v>Hips girth</v>
      </c>
      <c r="D25" s="20">
        <f>SUM('Measures-Medidas'!D25,'Measures-Medidas'!E25)</f>
        <v>0</v>
      </c>
      <c r="E25" s="20">
        <f>SUM('Measures-Medidas'!F25,'Measures-Medidas'!G25)</f>
        <v>0</v>
      </c>
      <c r="F25" s="20">
        <f>SUM('Measures-Medidas'!H25,'Measures-Medidas'!I25)</f>
        <v>0</v>
      </c>
      <c r="G25" s="20">
        <f>SUM('Measures-Medidas'!J25,'Measures-Medidas'!K25)</f>
        <v>0</v>
      </c>
      <c r="H25" s="20">
        <f>SUM('Measures-Medidas'!L25,'Measures-Medidas'!M25)</f>
        <v>0</v>
      </c>
      <c r="I25" s="20">
        <f>SUM('Measures-Medidas'!N25,'Measures-Medidas'!O25)</f>
        <v>0</v>
      </c>
      <c r="J25" s="20">
        <f>SUM('Measures-Medidas'!P25,'Measures-Medidas'!Q25)</f>
        <v>186</v>
      </c>
      <c r="K25" s="20">
        <f>SUM('Measures-Medidas'!R25,'Measures-Medidas'!S25)</f>
        <v>182.1</v>
      </c>
      <c r="L25" s="20">
        <f>SUM('Measures-Medidas'!T25,'Measures-Medidas'!U25)</f>
        <v>0</v>
      </c>
      <c r="M25" s="20">
        <f>SUM('Measures-Medidas'!V25,'Measures-Medidas'!W25)</f>
        <v>180.4</v>
      </c>
      <c r="N25" s="20">
        <f>SUM('Measures-Medidas'!X25,'Measures-Medidas'!Y25)</f>
        <v>197.1</v>
      </c>
      <c r="O25" s="20">
        <f>SUM('Measures-Medidas'!Z25,'Measures-Medidas'!AA25)</f>
        <v>183</v>
      </c>
      <c r="P25" s="20">
        <f>SUM('Measures-Medidas'!AB25,'Measures-Medidas'!AC25)</f>
        <v>190</v>
      </c>
      <c r="Q25" s="20">
        <f>SUM('Measures-Medidas'!AD25,'Measures-Medidas'!AE25)</f>
        <v>183</v>
      </c>
      <c r="R25" s="20">
        <f>SUM('Measures-Medidas'!AF25,'Measures-Medidas'!AG25)</f>
        <v>0</v>
      </c>
      <c r="S25" s="20">
        <f>SUM('Measures-Medidas'!AH25,'Measures-Medidas'!AI25)</f>
        <v>0</v>
      </c>
      <c r="T25" s="20">
        <f>SUM('Measures-Medidas'!AJ25,'Measures-Medidas'!AK25)</f>
        <v>0</v>
      </c>
      <c r="U25" s="20">
        <f>SUM('Measures-Medidas'!AL25,'Measures-Medidas'!AM25)</f>
        <v>190.5</v>
      </c>
      <c r="V25" s="20">
        <f>SUM('Measures-Medidas'!AN25,'Measures-Medidas'!AO25)</f>
        <v>0</v>
      </c>
      <c r="W25" s="20">
        <f>SUM('Measures-Medidas'!AP25,'Measures-Medidas'!AQ25)</f>
        <v>182.5</v>
      </c>
      <c r="X25" s="21"/>
      <c r="Y25" s="22">
        <f>SUM('Measures-Medidas'!D25,'Measures-Medidas'!F25,'Measures-Medidas'!H25,'Measures-Medidas'!J25,'Measures-Medidas'!L25,'Measures-Medidas'!N25,'Measures-Medidas'!P25,'Measures-Medidas'!R25,'Measures-Medidas'!T25,'Measures-Medidas'!V25,'Measures-Medidas'!X25,'Measures-Medidas'!Z25,'Measures-Medidas'!AB25,'Measures-Medidas'!AD25,'Measures-Medidas'!AF25,'Measures-Medidas'!AH25,'Measures-Medidas'!AJ25,'Measures-Medidas'!AL25,'Measures-Medidas'!AN25,'Measures-Medidas'!AP25)</f>
        <v>835.7</v>
      </c>
      <c r="Z25" s="22">
        <f>SUM('Measures-Medidas'!E25,'Measures-Medidas'!G25,'Measures-Medidas'!I25,'Measures-Medidas'!K25,'Measures-Medidas'!M25,'Measures-Medidas'!O25,'Measures-Medidas'!Q25,'Measures-Medidas'!S25,'Measures-Medidas'!U25,'Measures-Medidas'!W25,'Measures-Medidas'!Y25,'Measures-Medidas'!AA25,'Measures-Medidas'!AC25,'Measures-Medidas'!AE25,'Measures-Medidas'!AG25,'Measures-Medidas'!AI25,'Measures-Medidas'!AK25,'Measures-Medidas'!AM25,'Measures-Medidas'!AO25,'Measures-Medidas'!AQ25)</f>
        <v>838.9</v>
      </c>
      <c r="AA25" s="22">
        <f t="shared" si="4"/>
        <v>1674.6</v>
      </c>
      <c r="AB25" s="23"/>
      <c r="AC25" s="22">
        <f t="shared" si="0"/>
        <v>41.785000000000004</v>
      </c>
      <c r="AD25" s="22">
        <f t="shared" si="1"/>
        <v>419.45</v>
      </c>
      <c r="AE25" s="22">
        <f t="shared" si="2"/>
        <v>41.864999999999995</v>
      </c>
    </row>
    <row r="26" spans="2:31">
      <c r="B26" s="27">
        <f>'Measures-Medidas'!B26</f>
        <v>17</v>
      </c>
      <c r="C26" s="17" t="str">
        <f>'Measures-Medidas'!C26</f>
        <v>Thigh middle girth</v>
      </c>
      <c r="D26" s="20">
        <f>SUM('Measures-Medidas'!D26,'Measures-Medidas'!E26)</f>
        <v>0</v>
      </c>
      <c r="E26" s="20">
        <f>SUM('Measures-Medidas'!F26,'Measures-Medidas'!G26)</f>
        <v>0</v>
      </c>
      <c r="F26" s="20">
        <f>SUM('Measures-Medidas'!H26,'Measures-Medidas'!I26)</f>
        <v>0</v>
      </c>
      <c r="G26" s="20">
        <f>SUM('Measures-Medidas'!J26,'Measures-Medidas'!K26)</f>
        <v>0</v>
      </c>
      <c r="H26" s="20">
        <f>SUM('Measures-Medidas'!L26,'Measures-Medidas'!M26)</f>
        <v>0</v>
      </c>
      <c r="I26" s="20">
        <f>SUM('Measures-Medidas'!N26,'Measures-Medidas'!O26)</f>
        <v>0</v>
      </c>
      <c r="J26" s="20">
        <f>SUM('Measures-Medidas'!P26,'Measures-Medidas'!Q26)</f>
        <v>106</v>
      </c>
      <c r="K26" s="20">
        <f>SUM('Measures-Medidas'!R26,'Measures-Medidas'!S26)</f>
        <v>91</v>
      </c>
      <c r="L26" s="20">
        <f>SUM('Measures-Medidas'!T26,'Measures-Medidas'!U26)</f>
        <v>0</v>
      </c>
      <c r="M26" s="20">
        <f>SUM('Measures-Medidas'!V26,'Measures-Medidas'!W26)</f>
        <v>104</v>
      </c>
      <c r="N26" s="20">
        <f>SUM('Measures-Medidas'!X26,'Measures-Medidas'!Y26)</f>
        <v>119</v>
      </c>
      <c r="O26" s="20">
        <f>SUM('Measures-Medidas'!Z26,'Measures-Medidas'!AA26)</f>
        <v>98</v>
      </c>
      <c r="P26" s="20">
        <f>SUM('Measures-Medidas'!AB26,'Measures-Medidas'!AC26)</f>
        <v>110.1</v>
      </c>
      <c r="Q26" s="20">
        <f>SUM('Measures-Medidas'!AD26,'Measures-Medidas'!AE26)</f>
        <v>101</v>
      </c>
      <c r="R26" s="20">
        <f>SUM('Measures-Medidas'!AF26,'Measures-Medidas'!AG26)</f>
        <v>0</v>
      </c>
      <c r="S26" s="20">
        <f>SUM('Measures-Medidas'!AH26,'Measures-Medidas'!AI26)</f>
        <v>0</v>
      </c>
      <c r="T26" s="20">
        <f>SUM('Measures-Medidas'!AJ26,'Measures-Medidas'!AK26)</f>
        <v>0</v>
      </c>
      <c r="U26" s="20">
        <f>SUM('Measures-Medidas'!AL26,'Measures-Medidas'!AM26)</f>
        <v>112.5</v>
      </c>
      <c r="V26" s="20">
        <f>SUM('Measures-Medidas'!AN26,'Measures-Medidas'!AO26)</f>
        <v>0</v>
      </c>
      <c r="W26" s="20">
        <f>SUM('Measures-Medidas'!AP26,'Measures-Medidas'!AQ26)</f>
        <v>0</v>
      </c>
      <c r="X26" s="21"/>
      <c r="Y26" s="22">
        <f>SUM('Measures-Medidas'!D26,'Measures-Medidas'!F26,'Measures-Medidas'!H26,'Measures-Medidas'!J26,'Measures-Medidas'!L26,'Measures-Medidas'!N26,'Measures-Medidas'!P26,'Measures-Medidas'!R26,'Measures-Medidas'!T26,'Measures-Medidas'!V26,'Measures-Medidas'!X26,'Measures-Medidas'!Z26,'Measures-Medidas'!AB26,'Measures-Medidas'!AD26,'Measures-Medidas'!AF26,'Measures-Medidas'!AH26,'Measures-Medidas'!AJ26,'Measures-Medidas'!AL26,'Measures-Medidas'!AN26,'Measures-Medidas'!AP26)</f>
        <v>420</v>
      </c>
      <c r="Z26" s="22">
        <f>SUM('Measures-Medidas'!E26,'Measures-Medidas'!G26,'Measures-Medidas'!I26,'Measures-Medidas'!K26,'Measures-Medidas'!M26,'Measures-Medidas'!O26,'Measures-Medidas'!Q26,'Measures-Medidas'!S26,'Measures-Medidas'!U26,'Measures-Medidas'!W26,'Measures-Medidas'!Y26,'Measures-Medidas'!AA26,'Measures-Medidas'!AC26,'Measures-Medidas'!AE26,'Measures-Medidas'!AG26,'Measures-Medidas'!AI26,'Measures-Medidas'!AK26,'Measures-Medidas'!AM26,'Measures-Medidas'!AO26,'Measures-Medidas'!AQ26)</f>
        <v>421.6</v>
      </c>
      <c r="AA26" s="22">
        <f t="shared" si="4"/>
        <v>841.6</v>
      </c>
      <c r="AB26" s="23"/>
      <c r="AC26" s="22">
        <f t="shared" si="0"/>
        <v>21</v>
      </c>
      <c r="AD26" s="22">
        <f t="shared" si="1"/>
        <v>210.8</v>
      </c>
      <c r="AE26" s="22">
        <f t="shared" si="2"/>
        <v>21.04</v>
      </c>
    </row>
    <row r="27" spans="2:31">
      <c r="B27" s="27">
        <f>'Measures-Medidas'!B27</f>
        <v>18</v>
      </c>
      <c r="C27" s="17" t="str">
        <f>'Measures-Medidas'!C27</f>
        <v>Calf girth</v>
      </c>
      <c r="D27" s="20">
        <f>SUM('Measures-Medidas'!D27,'Measures-Medidas'!E27)</f>
        <v>0</v>
      </c>
      <c r="E27" s="20">
        <f>SUM('Measures-Medidas'!F27,'Measures-Medidas'!G27)</f>
        <v>0</v>
      </c>
      <c r="F27" s="20">
        <f>SUM('Measures-Medidas'!H27,'Measures-Medidas'!I27)</f>
        <v>0</v>
      </c>
      <c r="G27" s="20">
        <f>SUM('Measures-Medidas'!J27,'Measures-Medidas'!K27)</f>
        <v>0</v>
      </c>
      <c r="H27" s="20">
        <f>SUM('Measures-Medidas'!L27,'Measures-Medidas'!M27)</f>
        <v>0</v>
      </c>
      <c r="I27" s="20">
        <f>SUM('Measures-Medidas'!N27,'Measures-Medidas'!O27)</f>
        <v>0</v>
      </c>
      <c r="J27" s="20">
        <f>SUM('Measures-Medidas'!P27,'Measures-Medidas'!Q27)</f>
        <v>74</v>
      </c>
      <c r="K27" s="20">
        <f>SUM('Measures-Medidas'!R27,'Measures-Medidas'!S27)</f>
        <v>65</v>
      </c>
      <c r="L27" s="20">
        <f>SUM('Measures-Medidas'!T27,'Measures-Medidas'!U27)</f>
        <v>0</v>
      </c>
      <c r="M27" s="20">
        <f>SUM('Measures-Medidas'!V27,'Measures-Medidas'!W27)</f>
        <v>71</v>
      </c>
      <c r="N27" s="20">
        <f>SUM('Measures-Medidas'!X27,'Measures-Medidas'!Y27)</f>
        <v>77</v>
      </c>
      <c r="O27" s="20">
        <f>SUM('Measures-Medidas'!Z27,'Measures-Medidas'!AA27)</f>
        <v>68</v>
      </c>
      <c r="P27" s="20">
        <f>SUM('Measures-Medidas'!AB27,'Measures-Medidas'!AC27)</f>
        <v>72</v>
      </c>
      <c r="Q27" s="20">
        <f>SUM('Measures-Medidas'!AD27,'Measures-Medidas'!AE27)</f>
        <v>68</v>
      </c>
      <c r="R27" s="20">
        <f>SUM('Measures-Medidas'!AF27,'Measures-Medidas'!AG27)</f>
        <v>0</v>
      </c>
      <c r="S27" s="20">
        <f>SUM('Measures-Medidas'!AH27,'Measures-Medidas'!AI27)</f>
        <v>0</v>
      </c>
      <c r="T27" s="20">
        <f>SUM('Measures-Medidas'!AJ27,'Measures-Medidas'!AK27)</f>
        <v>0</v>
      </c>
      <c r="U27" s="20">
        <f>SUM('Measures-Medidas'!AL27,'Measures-Medidas'!AM27)</f>
        <v>72.5</v>
      </c>
      <c r="V27" s="20">
        <f>SUM('Measures-Medidas'!AN27,'Measures-Medidas'!AO27)</f>
        <v>0</v>
      </c>
      <c r="W27" s="20">
        <f>SUM('Measures-Medidas'!AP27,'Measures-Medidas'!AQ27)</f>
        <v>0</v>
      </c>
      <c r="Y27" s="22">
        <f>SUM('Measures-Medidas'!D27,'Measures-Medidas'!F27,'Measures-Medidas'!H27,'Measures-Medidas'!J27,'Measures-Medidas'!L27,'Measures-Medidas'!N27,'Measures-Medidas'!P27,'Measures-Medidas'!R27,'Measures-Medidas'!T27,'Measures-Medidas'!V27,'Measures-Medidas'!X27,'Measures-Medidas'!Z27,'Measures-Medidas'!AB27,'Measures-Medidas'!AD27,'Measures-Medidas'!AF27,'Measures-Medidas'!AH27,'Measures-Medidas'!AJ27,'Measures-Medidas'!AL27,'Measures-Medidas'!AN27,'Measures-Medidas'!AP27)</f>
        <v>283.5</v>
      </c>
      <c r="Z27" s="22">
        <f>SUM('Measures-Medidas'!E27,'Measures-Medidas'!G27,'Measures-Medidas'!I27,'Measures-Medidas'!K27,'Measures-Medidas'!M27,'Measures-Medidas'!O27,'Measures-Medidas'!Q27,'Measures-Medidas'!S27,'Measures-Medidas'!U27,'Measures-Medidas'!W27,'Measures-Medidas'!Y27,'Measures-Medidas'!AA27,'Measures-Medidas'!AC27,'Measures-Medidas'!AE27,'Measures-Medidas'!AG27,'Measures-Medidas'!AI27,'Measures-Medidas'!AK27,'Measures-Medidas'!AM27,'Measures-Medidas'!AO27,'Measures-Medidas'!AQ27)</f>
        <v>284</v>
      </c>
      <c r="AA27" s="22">
        <f>Y27+Z27</f>
        <v>567.5</v>
      </c>
      <c r="AC27" s="22">
        <f>Y27/20</f>
        <v>14.175000000000001</v>
      </c>
      <c r="AD27" s="22">
        <f>Z27/2</f>
        <v>142</v>
      </c>
      <c r="AE27" s="22">
        <f>(AA27)/(20*2)</f>
        <v>14.1875</v>
      </c>
    </row>
    <row r="28" spans="2:31">
      <c r="B28" s="27">
        <f>'Measures-Medidas'!B28</f>
        <v>19</v>
      </c>
      <c r="C28" s="17" t="str">
        <f>'Measures-Medidas'!C28</f>
        <v>Humerus breadth</v>
      </c>
      <c r="D28" s="20">
        <f>SUM('Measures-Medidas'!D28,'Measures-Medidas'!E28)</f>
        <v>0</v>
      </c>
      <c r="E28" s="20">
        <f>SUM('Measures-Medidas'!F28,'Measures-Medidas'!G28)</f>
        <v>0</v>
      </c>
      <c r="F28" s="20">
        <f>SUM('Measures-Medidas'!H28,'Measures-Medidas'!I28)</f>
        <v>0</v>
      </c>
      <c r="G28" s="20">
        <f>SUM('Measures-Medidas'!J28,'Measures-Medidas'!K28)</f>
        <v>0</v>
      </c>
      <c r="H28" s="20">
        <f>SUM('Measures-Medidas'!L28,'Measures-Medidas'!M28)</f>
        <v>0</v>
      </c>
      <c r="I28" s="20">
        <f>SUM('Measures-Medidas'!N28,'Measures-Medidas'!O28)</f>
        <v>0</v>
      </c>
      <c r="J28" s="20">
        <f>SUM('Measures-Medidas'!P28,'Measures-Medidas'!Q28)</f>
        <v>14.2</v>
      </c>
      <c r="K28" s="20">
        <f>SUM('Measures-Medidas'!R28,'Measures-Medidas'!S28)</f>
        <v>12</v>
      </c>
      <c r="L28" s="20">
        <f>SUM('Measures-Medidas'!T28,'Measures-Medidas'!U28)</f>
        <v>0</v>
      </c>
      <c r="M28" s="20">
        <f>SUM('Measures-Medidas'!V28,'Measures-Medidas'!W28)</f>
        <v>13.8</v>
      </c>
      <c r="N28" s="20">
        <f>SUM('Measures-Medidas'!X28,'Measures-Medidas'!Y28)</f>
        <v>14.4</v>
      </c>
      <c r="O28" s="20">
        <f>SUM('Measures-Medidas'!Z28,'Measures-Medidas'!AA28)</f>
        <v>13.2</v>
      </c>
      <c r="P28" s="20">
        <f>SUM('Measures-Medidas'!AB28,'Measures-Medidas'!AC28)</f>
        <v>14.4</v>
      </c>
      <c r="Q28" s="20">
        <f>SUM('Measures-Medidas'!AD28,'Measures-Medidas'!AE28)</f>
        <v>13.4</v>
      </c>
      <c r="R28" s="20">
        <f>SUM('Measures-Medidas'!AF28,'Measures-Medidas'!AG28)</f>
        <v>0</v>
      </c>
      <c r="S28" s="20">
        <f>SUM('Measures-Medidas'!AH28,'Measures-Medidas'!AI28)</f>
        <v>0</v>
      </c>
      <c r="T28" s="20">
        <f>SUM('Measures-Medidas'!AJ28,'Measures-Medidas'!AK28)</f>
        <v>0</v>
      </c>
      <c r="U28" s="20">
        <f>SUM('Measures-Medidas'!AL28,'Measures-Medidas'!AM28)</f>
        <v>0</v>
      </c>
      <c r="V28" s="20">
        <f>SUM('Measures-Medidas'!AN28,'Measures-Medidas'!AO28)</f>
        <v>0</v>
      </c>
      <c r="W28" s="20">
        <f>SUM('Measures-Medidas'!AP28,'Measures-Medidas'!AQ28)</f>
        <v>0</v>
      </c>
      <c r="Y28" s="22">
        <f>SUM('Measures-Medidas'!D28,'Measures-Medidas'!F28,'Measures-Medidas'!H28,'Measures-Medidas'!J28,'Measures-Medidas'!L28,'Measures-Medidas'!N28,'Measures-Medidas'!P28,'Measures-Medidas'!R28,'Measures-Medidas'!T28,'Measures-Medidas'!V28,'Measures-Medidas'!X28,'Measures-Medidas'!Z28,'Measures-Medidas'!AB28,'Measures-Medidas'!AD28,'Measures-Medidas'!AF28,'Measures-Medidas'!AH28,'Measures-Medidas'!AJ28,'Measures-Medidas'!AL28,'Measures-Medidas'!AN28,'Measures-Medidas'!AP28)</f>
        <v>47.7</v>
      </c>
      <c r="Z28" s="22">
        <f>SUM('Measures-Medidas'!E28,'Measures-Medidas'!G28,'Measures-Medidas'!I28,'Measures-Medidas'!K28,'Measures-Medidas'!M28,'Measures-Medidas'!O28,'Measures-Medidas'!Q28,'Measures-Medidas'!S28,'Measures-Medidas'!U28,'Measures-Medidas'!W28,'Measures-Medidas'!Y28,'Measures-Medidas'!AA28,'Measures-Medidas'!AC28,'Measures-Medidas'!AE28,'Measures-Medidas'!AG28,'Measures-Medidas'!AI28,'Measures-Medidas'!AK28,'Measures-Medidas'!AM28,'Measures-Medidas'!AO28,'Measures-Medidas'!AQ28)</f>
        <v>47.7</v>
      </c>
      <c r="AA28" s="22">
        <f>Y28+Z28</f>
        <v>95.4</v>
      </c>
      <c r="AC28" s="22">
        <f>Y28/20</f>
        <v>2.3850000000000002</v>
      </c>
      <c r="AD28" s="22">
        <f>Z28/2</f>
        <v>23.85</v>
      </c>
      <c r="AE28" s="22">
        <f>(AA28)/(20*2)</f>
        <v>2.3850000000000002</v>
      </c>
    </row>
    <row r="29" spans="2:31">
      <c r="B29" s="27">
        <f>'Measures-Medidas'!B29</f>
        <v>20</v>
      </c>
      <c r="C29" s="17" t="str">
        <f>'Measures-Medidas'!C29</f>
        <v>Bi-styloid breadth</v>
      </c>
      <c r="D29" s="20">
        <f>SUM('Measures-Medidas'!D29,'Measures-Medidas'!E29)</f>
        <v>0</v>
      </c>
      <c r="E29" s="20">
        <f>SUM('Measures-Medidas'!F29,'Measures-Medidas'!G29)</f>
        <v>0</v>
      </c>
      <c r="F29" s="20">
        <f>SUM('Measures-Medidas'!H29,'Measures-Medidas'!I29)</f>
        <v>0</v>
      </c>
      <c r="G29" s="20">
        <f>SUM('Measures-Medidas'!J29,'Measures-Medidas'!K29)</f>
        <v>0</v>
      </c>
      <c r="H29" s="20">
        <f>SUM('Measures-Medidas'!L29,'Measures-Medidas'!M29)</f>
        <v>0</v>
      </c>
      <c r="I29" s="20">
        <f>SUM('Measures-Medidas'!N29,'Measures-Medidas'!O29)</f>
        <v>0</v>
      </c>
      <c r="J29" s="20">
        <f>SUM('Measures-Medidas'!P29,'Measures-Medidas'!Q29)</f>
        <v>11.6</v>
      </c>
      <c r="K29" s="20">
        <f>SUM('Measures-Medidas'!R29,'Measures-Medidas'!S29)</f>
        <v>9.6</v>
      </c>
      <c r="L29" s="20">
        <f>SUM('Measures-Medidas'!T29,'Measures-Medidas'!U29)</f>
        <v>0</v>
      </c>
      <c r="M29" s="20">
        <f>SUM('Measures-Medidas'!V29,'Measures-Medidas'!W29)</f>
        <v>11.4</v>
      </c>
      <c r="N29" s="20">
        <f>SUM('Measures-Medidas'!X29,'Measures-Medidas'!Y29)</f>
        <v>11</v>
      </c>
      <c r="O29" s="20">
        <f>SUM('Measures-Medidas'!Z29,'Measures-Medidas'!AA29)</f>
        <v>12</v>
      </c>
      <c r="P29" s="20">
        <f>SUM('Measures-Medidas'!AB29,'Measures-Medidas'!AC29)</f>
        <v>13</v>
      </c>
      <c r="Q29" s="20">
        <f>SUM('Measures-Medidas'!AD29,'Measures-Medidas'!AE29)</f>
        <v>10.4</v>
      </c>
      <c r="R29" s="20">
        <f>SUM('Measures-Medidas'!AF29,'Measures-Medidas'!AG29)</f>
        <v>0</v>
      </c>
      <c r="S29" s="20">
        <f>SUM('Measures-Medidas'!AH29,'Measures-Medidas'!AI29)</f>
        <v>0</v>
      </c>
      <c r="T29" s="20">
        <f>SUM('Measures-Medidas'!AJ29,'Measures-Medidas'!AK29)</f>
        <v>0</v>
      </c>
      <c r="U29" s="20">
        <f>SUM('Measures-Medidas'!AL29,'Measures-Medidas'!AM29)</f>
        <v>0</v>
      </c>
      <c r="V29" s="20">
        <f>SUM('Measures-Medidas'!AN29,'Measures-Medidas'!AO29)</f>
        <v>0</v>
      </c>
      <c r="W29" s="20">
        <f>SUM('Measures-Medidas'!AP29,'Measures-Medidas'!AQ29)</f>
        <v>0</v>
      </c>
      <c r="Y29" s="22">
        <f>SUM('Measures-Medidas'!D29,'Measures-Medidas'!F29,'Measures-Medidas'!H29,'Measures-Medidas'!J29,'Measures-Medidas'!L29,'Measures-Medidas'!N29,'Measures-Medidas'!P29,'Measures-Medidas'!R29,'Measures-Medidas'!T29,'Measures-Medidas'!V29,'Measures-Medidas'!X29,'Measures-Medidas'!Z29,'Measures-Medidas'!AB29,'Measures-Medidas'!AD29,'Measures-Medidas'!AF29,'Measures-Medidas'!AH29,'Measures-Medidas'!AJ29,'Measures-Medidas'!AL29,'Measures-Medidas'!AN29,'Measures-Medidas'!AP29)</f>
        <v>39.5</v>
      </c>
      <c r="Z29" s="22">
        <f>SUM('Measures-Medidas'!E29,'Measures-Medidas'!G29,'Measures-Medidas'!I29,'Measures-Medidas'!K29,'Measures-Medidas'!M29,'Measures-Medidas'!O29,'Measures-Medidas'!Q29,'Measures-Medidas'!S29,'Measures-Medidas'!U29,'Measures-Medidas'!W29,'Measures-Medidas'!Y29,'Measures-Medidas'!AA29,'Measures-Medidas'!AC29,'Measures-Medidas'!AE29,'Measures-Medidas'!AG29,'Measures-Medidas'!AI29,'Measures-Medidas'!AK29,'Measures-Medidas'!AM29,'Measures-Medidas'!AO29,'Measures-Medidas'!AQ29)</f>
        <v>39.5</v>
      </c>
      <c r="AA29" s="22">
        <f>Y29+Z29</f>
        <v>79</v>
      </c>
      <c r="AC29" s="22">
        <f>Y29/20</f>
        <v>1.9750000000000001</v>
      </c>
      <c r="AD29" s="22">
        <f>Z29/2</f>
        <v>19.75</v>
      </c>
      <c r="AE29" s="22">
        <f>(AA29)/(20*2)</f>
        <v>1.9750000000000001</v>
      </c>
    </row>
    <row r="30" spans="2:31">
      <c r="B30" s="27">
        <f>'Measures-Medidas'!B30</f>
        <v>21</v>
      </c>
      <c r="C30" s="17" t="str">
        <f>'Measures-Medidas'!C30</f>
        <v>Femur breadth</v>
      </c>
      <c r="D30" s="20">
        <f>SUM('Measures-Medidas'!D30,'Measures-Medidas'!E30)</f>
        <v>0</v>
      </c>
      <c r="E30" s="20">
        <f>SUM('Measures-Medidas'!F30,'Measures-Medidas'!G30)</f>
        <v>0</v>
      </c>
      <c r="F30" s="20">
        <f>SUM('Measures-Medidas'!H30,'Measures-Medidas'!I30)</f>
        <v>0</v>
      </c>
      <c r="G30" s="20">
        <f>SUM('Measures-Medidas'!J30,'Measures-Medidas'!K30)</f>
        <v>0</v>
      </c>
      <c r="H30" s="20">
        <f>SUM('Measures-Medidas'!L30,'Measures-Medidas'!M30)</f>
        <v>0</v>
      </c>
      <c r="I30" s="20">
        <f>SUM('Measures-Medidas'!N30,'Measures-Medidas'!O30)</f>
        <v>0</v>
      </c>
      <c r="J30" s="20">
        <f>SUM('Measures-Medidas'!P30,'Measures-Medidas'!Q30)</f>
        <v>20.399999999999999</v>
      </c>
      <c r="K30" s="20">
        <f>SUM('Measures-Medidas'!R30,'Measures-Medidas'!S30)</f>
        <v>18.600000000000001</v>
      </c>
      <c r="L30" s="20">
        <f>SUM('Measures-Medidas'!T30,'Measures-Medidas'!U30)</f>
        <v>0</v>
      </c>
      <c r="M30" s="20">
        <f>SUM('Measures-Medidas'!V30,'Measures-Medidas'!W30)</f>
        <v>20</v>
      </c>
      <c r="N30" s="20">
        <f>SUM('Measures-Medidas'!X30,'Measures-Medidas'!Y30)</f>
        <v>19.2</v>
      </c>
      <c r="O30" s="20">
        <f>SUM('Measures-Medidas'!Z30,'Measures-Medidas'!AA30)</f>
        <v>19.399999999999999</v>
      </c>
      <c r="P30" s="20">
        <f>SUM('Measures-Medidas'!AB30,'Measures-Medidas'!AC30)</f>
        <v>21</v>
      </c>
      <c r="Q30" s="20">
        <f>SUM('Measures-Medidas'!AD30,'Measures-Medidas'!AE30)</f>
        <v>18</v>
      </c>
      <c r="R30" s="20">
        <f>SUM('Measures-Medidas'!AF30,'Measures-Medidas'!AG30)</f>
        <v>0</v>
      </c>
      <c r="S30" s="20">
        <f>SUM('Measures-Medidas'!AH30,'Measures-Medidas'!AI30)</f>
        <v>0</v>
      </c>
      <c r="T30" s="20">
        <f>SUM('Measures-Medidas'!AJ30,'Measures-Medidas'!AK30)</f>
        <v>0</v>
      </c>
      <c r="U30" s="20">
        <f>SUM('Measures-Medidas'!AL30,'Measures-Medidas'!AM30)</f>
        <v>0</v>
      </c>
      <c r="V30" s="20">
        <f>SUM('Measures-Medidas'!AN30,'Measures-Medidas'!AO30)</f>
        <v>0</v>
      </c>
      <c r="W30" s="20">
        <f>SUM('Measures-Medidas'!AP30,'Measures-Medidas'!AQ30)</f>
        <v>0</v>
      </c>
      <c r="Y30" s="22">
        <f>SUM('Measures-Medidas'!D30,'Measures-Medidas'!F30,'Measures-Medidas'!H30,'Measures-Medidas'!J30,'Measures-Medidas'!L30,'Measures-Medidas'!N30,'Measures-Medidas'!P30,'Measures-Medidas'!R30,'Measures-Medidas'!T30,'Measures-Medidas'!V30,'Measures-Medidas'!X30,'Measures-Medidas'!Z30,'Measures-Medidas'!AB30,'Measures-Medidas'!AD30,'Measures-Medidas'!AF30,'Measures-Medidas'!AH30,'Measures-Medidas'!AJ30,'Measures-Medidas'!AL30,'Measures-Medidas'!AN30,'Measures-Medidas'!AP30)</f>
        <v>68.3</v>
      </c>
      <c r="Z30" s="22">
        <f>SUM('Measures-Medidas'!E30,'Measures-Medidas'!G30,'Measures-Medidas'!I30,'Measures-Medidas'!K30,'Measures-Medidas'!M30,'Measures-Medidas'!O30,'Measures-Medidas'!Q30,'Measures-Medidas'!S30,'Measures-Medidas'!U30,'Measures-Medidas'!W30,'Measures-Medidas'!Y30,'Measures-Medidas'!AA30,'Measures-Medidas'!AC30,'Measures-Medidas'!AE30,'Measures-Medidas'!AG30,'Measures-Medidas'!AI30,'Measures-Medidas'!AK30,'Measures-Medidas'!AM30,'Measures-Medidas'!AO30,'Measures-Medidas'!AQ30)</f>
        <v>68.3</v>
      </c>
      <c r="AA30" s="22">
        <f>Y30+Z30</f>
        <v>136.6</v>
      </c>
      <c r="AC30" s="22">
        <f>Y30/20</f>
        <v>3.415</v>
      </c>
      <c r="AD30" s="22">
        <f>Z30/2</f>
        <v>34.15</v>
      </c>
      <c r="AE30" s="22">
        <f>(AA30)/(20*2)</f>
        <v>3.415</v>
      </c>
    </row>
  </sheetData>
  <mergeCells count="2">
    <mergeCell ref="Y7:AA7"/>
    <mergeCell ref="AC7:AE7"/>
  </mergeCells>
  <phoneticPr fontId="9" type="noConversion"/>
  <pageMargins left="0" right="0" top="1" bottom="1" header="0.5" footer="0.5"/>
  <pageSetup paperSize="9" orientation="portrait" horizontalDpi="4294967292" verticalDpi="429496729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dimension ref="B3:AA30"/>
  <sheetViews>
    <sheetView topLeftCell="J1" workbookViewId="0">
      <selection activeCell="B5" sqref="B5"/>
    </sheetView>
  </sheetViews>
  <sheetFormatPr baseColWidth="10" defaultColWidth="9.109375" defaultRowHeight="13.2"/>
  <cols>
    <col min="1" max="1" width="2.109375" style="2" customWidth="1"/>
    <col min="2" max="2" width="4.33203125" style="2" customWidth="1"/>
    <col min="3" max="3" width="27.44140625" style="2" bestFit="1" customWidth="1"/>
    <col min="4" max="23" width="9.109375" style="3" customWidth="1"/>
    <col min="24" max="24" width="2" style="2" customWidth="1"/>
    <col min="25" max="25" width="9.109375" style="2" customWidth="1"/>
    <col min="26" max="26" width="2.109375" style="2" customWidth="1"/>
    <col min="27" max="16384" width="9.109375" style="2"/>
  </cols>
  <sheetData>
    <row r="3" spans="2:27" ht="13.8" thickBot="1"/>
    <row r="4" spans="2:27" ht="16.8" thickTop="1" thickBot="1">
      <c r="B4" s="8" t="str">
        <f>IF(Info!D34=1,"SQUARE OF SUMS","CUADRADO DE LAS SUMAS")</f>
        <v>SQUARE OF SUMS</v>
      </c>
      <c r="C4" s="9"/>
      <c r="D4" s="10"/>
      <c r="E4" s="10"/>
      <c r="F4" s="10"/>
      <c r="G4" s="10"/>
      <c r="H4" s="10"/>
      <c r="I4" s="10"/>
      <c r="J4" s="10"/>
      <c r="K4" s="10"/>
      <c r="L4" s="10"/>
      <c r="M4" s="10"/>
      <c r="N4" s="10"/>
      <c r="O4" s="10"/>
      <c r="P4" s="10"/>
      <c r="Q4" s="10"/>
      <c r="R4" s="10"/>
      <c r="S4" s="10"/>
      <c r="T4" s="10"/>
      <c r="U4" s="10"/>
      <c r="V4" s="10"/>
      <c r="W4" s="10"/>
      <c r="X4" s="9"/>
      <c r="Y4" s="9"/>
      <c r="Z4" s="9"/>
      <c r="AA4" s="9"/>
    </row>
    <row r="5" spans="2:27" ht="13.8" thickTop="1"/>
    <row r="6" spans="2:27" ht="13.8" thickBot="1"/>
    <row r="7" spans="2:27" s="6" customFormat="1" ht="13.8" thickTop="1">
      <c r="B7" s="5"/>
      <c r="C7" s="55" t="str">
        <f>'Measures-Medidas'!C7</f>
        <v>Sites for restricted profile</v>
      </c>
      <c r="D7" s="12" t="s">
        <v>0</v>
      </c>
      <c r="E7" s="12" t="s">
        <v>1</v>
      </c>
      <c r="F7" s="12" t="s">
        <v>2</v>
      </c>
      <c r="G7" s="12" t="s">
        <v>3</v>
      </c>
      <c r="H7" s="12" t="s">
        <v>4</v>
      </c>
      <c r="I7" s="12" t="s">
        <v>5</v>
      </c>
      <c r="J7" s="12" t="s">
        <v>6</v>
      </c>
      <c r="K7" s="12" t="s">
        <v>7</v>
      </c>
      <c r="L7" s="12" t="s">
        <v>8</v>
      </c>
      <c r="M7" s="12" t="s">
        <v>9</v>
      </c>
      <c r="N7" s="12" t="s">
        <v>10</v>
      </c>
      <c r="O7" s="12" t="s">
        <v>11</v>
      </c>
      <c r="P7" s="12" t="s">
        <v>12</v>
      </c>
      <c r="Q7" s="12" t="s">
        <v>13</v>
      </c>
      <c r="R7" s="12" t="s">
        <v>14</v>
      </c>
      <c r="S7" s="12" t="s">
        <v>15</v>
      </c>
      <c r="T7" s="12" t="s">
        <v>16</v>
      </c>
      <c r="U7" s="12" t="s">
        <v>17</v>
      </c>
      <c r="V7" s="12" t="s">
        <v>18</v>
      </c>
      <c r="W7" s="12" t="s">
        <v>19</v>
      </c>
      <c r="X7" s="15"/>
      <c r="Y7" s="60" t="str">
        <f>IF(Info!D34=1,"Sum","Suma")</f>
        <v>Sum</v>
      </c>
      <c r="Z7" s="15"/>
      <c r="AA7" s="60" t="str">
        <f>IF(Info!D34=1,"Square","Cuadrado")</f>
        <v>Square</v>
      </c>
    </row>
    <row r="8" spans="2:27" s="7" customFormat="1" ht="13.8" thickBot="1">
      <c r="D8" s="61" t="str">
        <f>'sum(meas)-suma(med)'!D8</f>
        <v>meas 1+2</v>
      </c>
      <c r="E8" s="61" t="str">
        <f>'sum(meas)-suma(med)'!E8</f>
        <v>meas 1+2</v>
      </c>
      <c r="F8" s="61" t="str">
        <f>'sum(meas)-suma(med)'!F8</f>
        <v>meas 1+2</v>
      </c>
      <c r="G8" s="61" t="str">
        <f>'sum(meas)-suma(med)'!G8</f>
        <v>meas 1+2</v>
      </c>
      <c r="H8" s="61" t="str">
        <f>'sum(meas)-suma(med)'!H8</f>
        <v>meas 1+2</v>
      </c>
      <c r="I8" s="61" t="str">
        <f>'sum(meas)-suma(med)'!I8</f>
        <v>meas 1+2</v>
      </c>
      <c r="J8" s="61" t="str">
        <f>'sum(meas)-suma(med)'!J8</f>
        <v>meas 1+2</v>
      </c>
      <c r="K8" s="61" t="str">
        <f>'sum(meas)-suma(med)'!K8</f>
        <v>meas 1+2</v>
      </c>
      <c r="L8" s="61" t="str">
        <f>'sum(meas)-suma(med)'!L8</f>
        <v>meas 1+2</v>
      </c>
      <c r="M8" s="61" t="str">
        <f>'sum(meas)-suma(med)'!M8</f>
        <v>meas 1+2</v>
      </c>
      <c r="N8" s="61" t="str">
        <f>'sum(meas)-suma(med)'!N8</f>
        <v>meas 1+2</v>
      </c>
      <c r="O8" s="61" t="str">
        <f>'sum(meas)-suma(med)'!O8</f>
        <v>meas 1+2</v>
      </c>
      <c r="P8" s="61" t="str">
        <f>'sum(meas)-suma(med)'!P8</f>
        <v>meas 1+2</v>
      </c>
      <c r="Q8" s="61" t="str">
        <f>'sum(meas)-suma(med)'!Q8</f>
        <v>meas 1+2</v>
      </c>
      <c r="R8" s="61" t="str">
        <f>'sum(meas)-suma(med)'!R8</f>
        <v>meas 1+2</v>
      </c>
      <c r="S8" s="61" t="str">
        <f>'sum(meas)-suma(med)'!S8</f>
        <v>meas 1+2</v>
      </c>
      <c r="T8" s="61" t="str">
        <f>'sum(meas)-suma(med)'!T8</f>
        <v>meas 1+2</v>
      </c>
      <c r="U8" s="61" t="str">
        <f>'sum(meas)-suma(med)'!U8</f>
        <v>meas 1+2</v>
      </c>
      <c r="V8" s="61" t="str">
        <f>'sum(meas)-suma(med)'!V8</f>
        <v>meas 1+2</v>
      </c>
      <c r="W8" s="61" t="str">
        <f>'sum(meas)-suma(med)'!W8</f>
        <v>meas 1+2</v>
      </c>
      <c r="X8" s="16"/>
      <c r="Y8" s="62" t="str">
        <f>IF(Info!D34=1,"Squares","Cuadrados")</f>
        <v>Squares</v>
      </c>
      <c r="Z8" s="16"/>
      <c r="AA8" s="62" t="str">
        <f>IF(Info!D34=1,"Sum","Suma")</f>
        <v>Sum</v>
      </c>
    </row>
    <row r="9" spans="2:27" ht="13.8" thickTop="1">
      <c r="B9" s="15"/>
      <c r="C9" s="17"/>
      <c r="D9" s="18"/>
      <c r="E9" s="18"/>
      <c r="F9" s="18"/>
      <c r="G9" s="18"/>
      <c r="H9" s="18"/>
      <c r="I9" s="18"/>
      <c r="J9" s="18"/>
      <c r="K9" s="18"/>
      <c r="L9" s="18"/>
      <c r="M9" s="18"/>
      <c r="N9" s="18"/>
      <c r="O9" s="18"/>
      <c r="P9" s="18"/>
      <c r="Q9" s="18"/>
      <c r="R9" s="18"/>
      <c r="S9" s="18"/>
      <c r="T9" s="18"/>
      <c r="U9" s="18"/>
      <c r="V9" s="18"/>
      <c r="W9" s="18"/>
      <c r="X9" s="17"/>
      <c r="Y9" s="17"/>
      <c r="Z9" s="17"/>
      <c r="AA9" s="17"/>
    </row>
    <row r="10" spans="2:27">
      <c r="B10" s="27">
        <f>'Measures-Medidas'!B10</f>
        <v>1</v>
      </c>
      <c r="C10" s="17" t="str">
        <f>'Measures-Medidas'!C10</f>
        <v>Mass</v>
      </c>
      <c r="D10" s="20">
        <f>'sum(meas)-suma(med)'!D10^2</f>
        <v>0</v>
      </c>
      <c r="E10" s="20">
        <f>'sum(meas)-suma(med)'!E10^2</f>
        <v>0</v>
      </c>
      <c r="F10" s="20">
        <f>'sum(meas)-suma(med)'!F10^2</f>
        <v>0</v>
      </c>
      <c r="G10" s="20">
        <f>'sum(meas)-suma(med)'!G10^2</f>
        <v>0</v>
      </c>
      <c r="H10" s="20">
        <f>'sum(meas)-suma(med)'!H10^2</f>
        <v>0</v>
      </c>
      <c r="I10" s="20">
        <f>'sum(meas)-suma(med)'!I10^2</f>
        <v>0</v>
      </c>
      <c r="J10" s="20">
        <f>'sum(meas)-suma(med)'!J10^2</f>
        <v>23963.040000000005</v>
      </c>
      <c r="K10" s="20">
        <f>'sum(meas)-suma(med)'!K10^2</f>
        <v>11968.36</v>
      </c>
      <c r="L10" s="20">
        <f>'sum(meas)-suma(med)'!L10^2</f>
        <v>0</v>
      </c>
      <c r="M10" s="20">
        <f>'sum(meas)-suma(med)'!M10^2</f>
        <v>20320.502500000002</v>
      </c>
      <c r="N10" s="20">
        <f>'sum(meas)-suma(med)'!N10^2</f>
        <v>24586.240000000005</v>
      </c>
      <c r="O10" s="20">
        <f>'sum(meas)-suma(med)'!O10^2</f>
        <v>17582.759999999998</v>
      </c>
      <c r="P10" s="20">
        <f>'sum(meas)-suma(med)'!P10^2</f>
        <v>27955.839999999997</v>
      </c>
      <c r="Q10" s="20">
        <f>'sum(meas)-suma(med)'!Q10^2</f>
        <v>18659.559999999998</v>
      </c>
      <c r="R10" s="20">
        <f>'sum(meas)-suma(med)'!R10^2</f>
        <v>0</v>
      </c>
      <c r="S10" s="20">
        <f>'sum(meas)-suma(med)'!S10^2</f>
        <v>0</v>
      </c>
      <c r="T10" s="20">
        <f>'sum(meas)-suma(med)'!T10^2</f>
        <v>0</v>
      </c>
      <c r="U10" s="20">
        <f>'sum(meas)-suma(med)'!U10^2</f>
        <v>0</v>
      </c>
      <c r="V10" s="20">
        <f>'sum(meas)-suma(med)'!V10^2</f>
        <v>0</v>
      </c>
      <c r="W10" s="20">
        <f>'sum(meas)-suma(med)'!W10^2</f>
        <v>0</v>
      </c>
      <c r="X10" s="17"/>
      <c r="Y10" s="20">
        <f>SUM(D10:W10)</f>
        <v>145036.30249999999</v>
      </c>
      <c r="Z10" s="17"/>
      <c r="AA10" s="22">
        <f>'sum(meas)-suma(med)'!AA10^2</f>
        <v>999900.00250000006</v>
      </c>
    </row>
    <row r="11" spans="2:27">
      <c r="B11" s="27">
        <f>'Measures-Medidas'!B11</f>
        <v>2</v>
      </c>
      <c r="C11" s="17" t="str">
        <f>'Measures-Medidas'!C11</f>
        <v>Stature</v>
      </c>
      <c r="D11" s="20">
        <f>'sum(meas)-suma(med)'!D11^2</f>
        <v>0</v>
      </c>
      <c r="E11" s="20">
        <f>'sum(meas)-suma(med)'!E11^2</f>
        <v>0</v>
      </c>
      <c r="F11" s="20">
        <f>'sum(meas)-suma(med)'!F11^2</f>
        <v>0</v>
      </c>
      <c r="G11" s="20">
        <f>'sum(meas)-suma(med)'!G11^2</f>
        <v>0</v>
      </c>
      <c r="H11" s="20">
        <f>'sum(meas)-suma(med)'!H11^2</f>
        <v>0</v>
      </c>
      <c r="I11" s="20">
        <f>'sum(meas)-suma(med)'!I11^2</f>
        <v>0</v>
      </c>
      <c r="J11" s="20">
        <f>'sum(meas)-suma(med)'!J11^2</f>
        <v>123904</v>
      </c>
      <c r="K11" s="20">
        <f>'sum(meas)-suma(med)'!K11^2</f>
        <v>112896</v>
      </c>
      <c r="L11" s="20">
        <f>'sum(meas)-suma(med)'!L11^2</f>
        <v>0</v>
      </c>
      <c r="M11" s="20">
        <f>'sum(meas)-suma(med)'!M11^2</f>
        <v>128164</v>
      </c>
      <c r="N11" s="20">
        <f>'sum(meas)-suma(med)'!N11^2</f>
        <v>119025</v>
      </c>
      <c r="O11" s="20">
        <f>'sum(meas)-suma(med)'!O11^2</f>
        <v>125316</v>
      </c>
      <c r="P11" s="20">
        <f>'sum(meas)-suma(med)'!P11^2</f>
        <v>133956</v>
      </c>
      <c r="Q11" s="20">
        <f>'sum(meas)-suma(med)'!Q11^2</f>
        <v>118336</v>
      </c>
      <c r="R11" s="20">
        <f>'sum(meas)-suma(med)'!R11^2</f>
        <v>0</v>
      </c>
      <c r="S11" s="20">
        <f>'sum(meas)-suma(med)'!S11^2</f>
        <v>0</v>
      </c>
      <c r="T11" s="20">
        <f>'sum(meas)-suma(med)'!T11^2</f>
        <v>0</v>
      </c>
      <c r="U11" s="20">
        <f>'sum(meas)-suma(med)'!U11^2</f>
        <v>0</v>
      </c>
      <c r="V11" s="20">
        <f>'sum(meas)-suma(med)'!V11^2</f>
        <v>0</v>
      </c>
      <c r="W11" s="20">
        <f>'sum(meas)-suma(med)'!W11^2</f>
        <v>0</v>
      </c>
      <c r="X11" s="17"/>
      <c r="Y11" s="20">
        <f t="shared" ref="Y11:Y30" si="0">SUM(D11:W11)</f>
        <v>861597</v>
      </c>
      <c r="Z11" s="17"/>
      <c r="AA11" s="22">
        <f>'sum(meas)-suma(med)'!AA11^2</f>
        <v>6027025</v>
      </c>
    </row>
    <row r="12" spans="2:27">
      <c r="B12" s="27">
        <f>'Measures-Medidas'!B12</f>
        <v>3</v>
      </c>
      <c r="C12" s="17" t="str">
        <f>'Measures-Medidas'!C12</f>
        <v>Sitting height</v>
      </c>
      <c r="D12" s="20">
        <f>'sum(meas)-suma(med)'!D12^2</f>
        <v>0</v>
      </c>
      <c r="E12" s="20">
        <f>'sum(meas)-suma(med)'!E12^2</f>
        <v>0</v>
      </c>
      <c r="F12" s="20">
        <f>'sum(meas)-suma(med)'!F12^2</f>
        <v>0</v>
      </c>
      <c r="G12" s="20">
        <f>'sum(meas)-suma(med)'!G12^2</f>
        <v>0</v>
      </c>
      <c r="H12" s="20">
        <f>'sum(meas)-suma(med)'!H12^2</f>
        <v>0</v>
      </c>
      <c r="I12" s="20">
        <f>'sum(meas)-suma(med)'!I12^2</f>
        <v>0</v>
      </c>
      <c r="J12" s="20">
        <f>'sum(meas)-suma(med)'!J12^2</f>
        <v>35721</v>
      </c>
      <c r="K12" s="20">
        <f>'sum(meas)-suma(med)'!K12^2</f>
        <v>29929</v>
      </c>
      <c r="L12" s="20">
        <f>'sum(meas)-suma(med)'!L12^2</f>
        <v>0</v>
      </c>
      <c r="M12" s="20">
        <f>'sum(meas)-suma(med)'!M12^2</f>
        <v>39204</v>
      </c>
      <c r="N12" s="20">
        <f>'sum(meas)-suma(med)'!N12^2</f>
        <v>33489</v>
      </c>
      <c r="O12" s="20">
        <f>'sum(meas)-suma(med)'!O12^2</f>
        <v>66049</v>
      </c>
      <c r="P12" s="20">
        <f>'sum(meas)-suma(med)'!P12^2</f>
        <v>52900</v>
      </c>
      <c r="Q12" s="20">
        <f>'sum(meas)-suma(med)'!Q12^2</f>
        <v>28900</v>
      </c>
      <c r="R12" s="20">
        <f>'sum(meas)-suma(med)'!R12^2</f>
        <v>0</v>
      </c>
      <c r="S12" s="20">
        <f>'sum(meas)-suma(med)'!S12^2</f>
        <v>0</v>
      </c>
      <c r="T12" s="20">
        <f>'sum(meas)-suma(med)'!T12^2</f>
        <v>0</v>
      </c>
      <c r="U12" s="20">
        <f>'sum(meas)-suma(med)'!U12^2</f>
        <v>0</v>
      </c>
      <c r="V12" s="20">
        <f>'sum(meas)-suma(med)'!V12^2</f>
        <v>0</v>
      </c>
      <c r="W12" s="20">
        <f>'sum(meas)-suma(med)'!W12^2</f>
        <v>0</v>
      </c>
      <c r="X12" s="17"/>
      <c r="Y12" s="20">
        <f t="shared" si="0"/>
        <v>286192</v>
      </c>
      <c r="Z12" s="17"/>
      <c r="AA12" s="22">
        <f>'sum(meas)-suma(med)'!AA12^2</f>
        <v>1960000</v>
      </c>
    </row>
    <row r="13" spans="2:27">
      <c r="B13" s="27">
        <f>'Measures-Medidas'!B13</f>
        <v>4</v>
      </c>
      <c r="C13" s="17" t="str">
        <f>'Measures-Medidas'!C13</f>
        <v>Arm Span</v>
      </c>
      <c r="D13" s="20">
        <f>'sum(meas)-suma(med)'!D13^2</f>
        <v>0</v>
      </c>
      <c r="E13" s="20">
        <f>'sum(meas)-suma(med)'!E13^2</f>
        <v>0</v>
      </c>
      <c r="F13" s="20">
        <f>'sum(meas)-suma(med)'!F13^2</f>
        <v>0</v>
      </c>
      <c r="G13" s="20">
        <f>'sum(meas)-suma(med)'!G13^2</f>
        <v>0</v>
      </c>
      <c r="H13" s="20">
        <f>'sum(meas)-suma(med)'!H13^2</f>
        <v>0</v>
      </c>
      <c r="I13" s="20">
        <f>'sum(meas)-suma(med)'!I13^2</f>
        <v>0</v>
      </c>
      <c r="J13" s="20">
        <f>'sum(meas)-suma(med)'!J13^2</f>
        <v>115804.09000000001</v>
      </c>
      <c r="K13" s="20">
        <f>'sum(meas)-suma(med)'!K13^2</f>
        <v>112896</v>
      </c>
      <c r="L13" s="20">
        <f>'sum(meas)-suma(med)'!L13^2</f>
        <v>0</v>
      </c>
      <c r="M13" s="20">
        <f>'sum(meas)-suma(med)'!M13^2</f>
        <v>127449</v>
      </c>
      <c r="N13" s="20">
        <f>'sum(meas)-suma(med)'!N13^2</f>
        <v>116964</v>
      </c>
      <c r="O13" s="20">
        <f>'sum(meas)-suma(med)'!O13^2</f>
        <v>128164</v>
      </c>
      <c r="P13" s="20">
        <f>'sum(meas)-suma(med)'!P13^2</f>
        <v>128881</v>
      </c>
      <c r="Q13" s="20">
        <f>'sum(meas)-suma(med)'!Q13^2</f>
        <v>118336</v>
      </c>
      <c r="R13" s="20">
        <f>'sum(meas)-suma(med)'!R13^2</f>
        <v>0</v>
      </c>
      <c r="S13" s="20">
        <f>'sum(meas)-suma(med)'!S13^2</f>
        <v>0</v>
      </c>
      <c r="T13" s="20">
        <f>'sum(meas)-suma(med)'!T13^2</f>
        <v>0</v>
      </c>
      <c r="U13" s="20">
        <f>'sum(meas)-suma(med)'!U13^2</f>
        <v>0</v>
      </c>
      <c r="V13" s="20">
        <f>'sum(meas)-suma(med)'!V13^2</f>
        <v>0</v>
      </c>
      <c r="W13" s="20">
        <f>'sum(meas)-suma(med)'!W13^2</f>
        <v>0</v>
      </c>
      <c r="X13" s="17"/>
      <c r="Y13" s="20">
        <f t="shared" si="0"/>
        <v>848494.09000000008</v>
      </c>
      <c r="Z13" s="17"/>
      <c r="AA13" s="22">
        <f>'sum(meas)-suma(med)'!AA13^2</f>
        <v>5935557.6900000013</v>
      </c>
    </row>
    <row r="14" spans="2:27">
      <c r="B14" s="27">
        <f>'Measures-Medidas'!B14</f>
        <v>5</v>
      </c>
      <c r="C14" s="17" t="str">
        <f>'Measures-Medidas'!C14</f>
        <v>Triceps sf</v>
      </c>
      <c r="D14" s="20">
        <f>'sum(meas)-suma(med)'!D14^2</f>
        <v>0</v>
      </c>
      <c r="E14" s="20">
        <f>'sum(meas)-suma(med)'!E14^2</f>
        <v>0</v>
      </c>
      <c r="F14" s="20">
        <f>'sum(meas)-suma(med)'!F14^2</f>
        <v>0</v>
      </c>
      <c r="G14" s="20">
        <f>'sum(meas)-suma(med)'!G14^2</f>
        <v>0</v>
      </c>
      <c r="H14" s="20">
        <f>'sum(meas)-suma(med)'!H14^2</f>
        <v>0</v>
      </c>
      <c r="I14" s="20">
        <f>'sum(meas)-suma(med)'!I14^2</f>
        <v>0</v>
      </c>
      <c r="J14" s="20">
        <f>'sum(meas)-suma(med)'!J14^2</f>
        <v>144</v>
      </c>
      <c r="K14" s="20">
        <f>'sum(meas)-suma(med)'!K14^2</f>
        <v>400</v>
      </c>
      <c r="L14" s="20">
        <f>'sum(meas)-suma(med)'!L14^2</f>
        <v>0</v>
      </c>
      <c r="M14" s="20">
        <f>'sum(meas)-suma(med)'!M14^2</f>
        <v>256</v>
      </c>
      <c r="N14" s="20">
        <f>'sum(meas)-suma(med)'!N14^2</f>
        <v>169</v>
      </c>
      <c r="O14" s="20">
        <f>'sum(meas)-suma(med)'!O14^2</f>
        <v>100</v>
      </c>
      <c r="P14" s="20">
        <f>'sum(meas)-suma(med)'!P14^2</f>
        <v>100</v>
      </c>
      <c r="Q14" s="20">
        <f>'sum(meas)-suma(med)'!Q14^2</f>
        <v>324</v>
      </c>
      <c r="R14" s="20">
        <f>'sum(meas)-suma(med)'!R14^2</f>
        <v>0</v>
      </c>
      <c r="S14" s="20">
        <f>'sum(meas)-suma(med)'!S14^2</f>
        <v>0</v>
      </c>
      <c r="T14" s="20">
        <f>'sum(meas)-suma(med)'!T14^2</f>
        <v>0</v>
      </c>
      <c r="U14" s="20">
        <f>'sum(meas)-suma(med)'!U14^2</f>
        <v>182.25</v>
      </c>
      <c r="V14" s="20">
        <f>'sum(meas)-suma(med)'!V14^2</f>
        <v>1296</v>
      </c>
      <c r="W14" s="20">
        <f>'sum(meas)-suma(med)'!W14^2</f>
        <v>0</v>
      </c>
      <c r="X14" s="17"/>
      <c r="Y14" s="20">
        <f t="shared" si="0"/>
        <v>2971.25</v>
      </c>
      <c r="Z14" s="17"/>
      <c r="AA14" s="22">
        <f>'sum(meas)-suma(med)'!AA14^2</f>
        <v>22052.25</v>
      </c>
    </row>
    <row r="15" spans="2:27">
      <c r="B15" s="27">
        <f>'Measures-Medidas'!B15</f>
        <v>6</v>
      </c>
      <c r="C15" s="17" t="str">
        <f>'Measures-Medidas'!C15</f>
        <v>Subscapular sf</v>
      </c>
      <c r="D15" s="20">
        <f>'sum(meas)-suma(med)'!D15^2</f>
        <v>0</v>
      </c>
      <c r="E15" s="20">
        <f>'sum(meas)-suma(med)'!E15^2</f>
        <v>0</v>
      </c>
      <c r="F15" s="20">
        <f>'sum(meas)-suma(med)'!F15^2</f>
        <v>0</v>
      </c>
      <c r="G15" s="20">
        <f>'sum(meas)-suma(med)'!G15^2</f>
        <v>0</v>
      </c>
      <c r="H15" s="20">
        <f>'sum(meas)-suma(med)'!H15^2</f>
        <v>0</v>
      </c>
      <c r="I15" s="20">
        <f>'sum(meas)-suma(med)'!I15^2</f>
        <v>0</v>
      </c>
      <c r="J15" s="20">
        <f>'sum(meas)-suma(med)'!J15^2</f>
        <v>676</v>
      </c>
      <c r="K15" s="20">
        <f>'sum(meas)-suma(med)'!K15^2</f>
        <v>256</v>
      </c>
      <c r="L15" s="20">
        <f>'sum(meas)-suma(med)'!L15^2</f>
        <v>0</v>
      </c>
      <c r="M15" s="20">
        <f>'sum(meas)-suma(med)'!M15^2</f>
        <v>324</v>
      </c>
      <c r="N15" s="20">
        <f>'sum(meas)-suma(med)'!N15^2</f>
        <v>576</v>
      </c>
      <c r="O15" s="20">
        <f>'sum(meas)-suma(med)'!O15^2</f>
        <v>196</v>
      </c>
      <c r="P15" s="20">
        <f>'sum(meas)-suma(med)'!P15^2</f>
        <v>169</v>
      </c>
      <c r="Q15" s="20">
        <f>'sum(meas)-suma(med)'!Q15^2</f>
        <v>676</v>
      </c>
      <c r="R15" s="20">
        <f>'sum(meas)-suma(med)'!R15^2</f>
        <v>0</v>
      </c>
      <c r="S15" s="20">
        <f>'sum(meas)-suma(med)'!S15^2</f>
        <v>0</v>
      </c>
      <c r="T15" s="20">
        <f>'sum(meas)-suma(med)'!T15^2</f>
        <v>0</v>
      </c>
      <c r="U15" s="20">
        <f>'sum(meas)-suma(med)'!U15^2</f>
        <v>625</v>
      </c>
      <c r="V15" s="20">
        <f>'sum(meas)-suma(med)'!V15^2</f>
        <v>0</v>
      </c>
      <c r="W15" s="20">
        <f>'sum(meas)-suma(med)'!W15^2</f>
        <v>0</v>
      </c>
      <c r="X15" s="17"/>
      <c r="Y15" s="20">
        <f t="shared" si="0"/>
        <v>3498</v>
      </c>
      <c r="Z15" s="17"/>
      <c r="AA15" s="22">
        <f>'sum(meas)-suma(med)'!AA15^2</f>
        <v>26244</v>
      </c>
    </row>
    <row r="16" spans="2:27">
      <c r="B16" s="27">
        <f>'Measures-Medidas'!B16</f>
        <v>7</v>
      </c>
      <c r="C16" s="17" t="str">
        <f>'Measures-Medidas'!C16</f>
        <v>Biceps sf</v>
      </c>
      <c r="D16" s="20">
        <f>'sum(meas)-suma(med)'!D16^2</f>
        <v>0</v>
      </c>
      <c r="E16" s="20">
        <f>'sum(meas)-suma(med)'!E16^2</f>
        <v>0</v>
      </c>
      <c r="F16" s="20">
        <f>'sum(meas)-suma(med)'!F16^2</f>
        <v>0</v>
      </c>
      <c r="G16" s="20">
        <f>'sum(meas)-suma(med)'!G16^2</f>
        <v>0</v>
      </c>
      <c r="H16" s="20">
        <f>'sum(meas)-suma(med)'!H16^2</f>
        <v>0</v>
      </c>
      <c r="I16" s="20">
        <f>'sum(meas)-suma(med)'!I16^2</f>
        <v>0</v>
      </c>
      <c r="J16" s="20">
        <f>'sum(meas)-suma(med)'!J16^2</f>
        <v>49</v>
      </c>
      <c r="K16" s="20">
        <f>'sum(meas)-suma(med)'!K16^2</f>
        <v>36</v>
      </c>
      <c r="L16" s="20">
        <f>'sum(meas)-suma(med)'!L16^2</f>
        <v>0</v>
      </c>
      <c r="M16" s="20">
        <f>'sum(meas)-suma(med)'!M16^2</f>
        <v>36</v>
      </c>
      <c r="N16" s="20">
        <f>'sum(meas)-suma(med)'!N16^2</f>
        <v>36</v>
      </c>
      <c r="O16" s="20">
        <f>'sum(meas)-suma(med)'!O16^2</f>
        <v>9</v>
      </c>
      <c r="P16" s="20">
        <f>'sum(meas)-suma(med)'!P16^2</f>
        <v>4</v>
      </c>
      <c r="Q16" s="20">
        <f>'sum(meas)-suma(med)'!Q16^2</f>
        <v>64</v>
      </c>
      <c r="R16" s="20">
        <f>'sum(meas)-suma(med)'!R16^2</f>
        <v>0</v>
      </c>
      <c r="S16" s="20">
        <f>'sum(meas)-suma(med)'!S16^2</f>
        <v>0</v>
      </c>
      <c r="T16" s="20">
        <f>'sum(meas)-suma(med)'!T16^2</f>
        <v>0</v>
      </c>
      <c r="U16" s="20">
        <f>'sum(meas)-suma(med)'!U16^2</f>
        <v>42.25</v>
      </c>
      <c r="V16" s="20">
        <f>'sum(meas)-suma(med)'!V16^2</f>
        <v>0</v>
      </c>
      <c r="W16" s="20">
        <f>'sum(meas)-suma(med)'!W16^2</f>
        <v>0</v>
      </c>
      <c r="X16" s="17"/>
      <c r="Y16" s="20">
        <f t="shared" si="0"/>
        <v>276.25</v>
      </c>
      <c r="Z16" s="17"/>
      <c r="AA16" s="22">
        <f>'sum(meas)-suma(med)'!AA16^2</f>
        <v>1980.25</v>
      </c>
    </row>
    <row r="17" spans="2:27">
      <c r="B17" s="27">
        <f>'Measures-Medidas'!B17</f>
        <v>8</v>
      </c>
      <c r="C17" s="17" t="str">
        <f>'Measures-Medidas'!C17</f>
        <v>Iliac crest sf</v>
      </c>
      <c r="D17" s="20">
        <f>'sum(meas)-suma(med)'!D17^2</f>
        <v>0</v>
      </c>
      <c r="E17" s="20">
        <f>'sum(meas)-suma(med)'!E17^2</f>
        <v>0</v>
      </c>
      <c r="F17" s="20">
        <f>'sum(meas)-suma(med)'!F17^2</f>
        <v>0</v>
      </c>
      <c r="G17" s="20">
        <f>'sum(meas)-suma(med)'!G17^2</f>
        <v>0</v>
      </c>
      <c r="H17" s="20">
        <f>'sum(meas)-suma(med)'!H17^2</f>
        <v>0</v>
      </c>
      <c r="I17" s="20">
        <f>'sum(meas)-suma(med)'!I17^2</f>
        <v>0</v>
      </c>
      <c r="J17" s="20">
        <f>'sum(meas)-suma(med)'!J17^2</f>
        <v>784</v>
      </c>
      <c r="K17" s="20">
        <f>'sum(meas)-suma(med)'!K17^2</f>
        <v>784</v>
      </c>
      <c r="L17" s="20">
        <f>'sum(meas)-suma(med)'!L17^2</f>
        <v>0</v>
      </c>
      <c r="M17" s="20">
        <f>'sum(meas)-suma(med)'!M17^2</f>
        <v>2500</v>
      </c>
      <c r="N17" s="20">
        <f>'sum(meas)-suma(med)'!N17^2</f>
        <v>1936</v>
      </c>
      <c r="O17" s="20">
        <f>'sum(meas)-suma(med)'!O17^2</f>
        <v>400</v>
      </c>
      <c r="P17" s="20">
        <f>'sum(meas)-suma(med)'!P17^2</f>
        <v>121</v>
      </c>
      <c r="Q17" s="20">
        <f>'sum(meas)-suma(med)'!Q17^2</f>
        <v>2116</v>
      </c>
      <c r="R17" s="20">
        <f>'sum(meas)-suma(med)'!R17^2</f>
        <v>0</v>
      </c>
      <c r="S17" s="20">
        <f>'sum(meas)-suma(med)'!S17^2</f>
        <v>0</v>
      </c>
      <c r="T17" s="20">
        <f>'sum(meas)-suma(med)'!T17^2</f>
        <v>0</v>
      </c>
      <c r="U17" s="20">
        <f>'sum(meas)-suma(med)'!U17^2</f>
        <v>3025</v>
      </c>
      <c r="V17" s="20">
        <f>'sum(meas)-suma(med)'!V17^2</f>
        <v>0</v>
      </c>
      <c r="W17" s="20">
        <f>'sum(meas)-suma(med)'!W17^2</f>
        <v>2809</v>
      </c>
      <c r="X17" s="17"/>
      <c r="Y17" s="20">
        <f t="shared" si="0"/>
        <v>14475</v>
      </c>
      <c r="Z17" s="17"/>
      <c r="AA17" s="22">
        <f>'sum(meas)-suma(med)'!AA17^2</f>
        <v>112225</v>
      </c>
    </row>
    <row r="18" spans="2:27">
      <c r="B18" s="27">
        <f>'Measures-Medidas'!B18</f>
        <v>9</v>
      </c>
      <c r="C18" s="17" t="str">
        <f>'Measures-Medidas'!C18</f>
        <v>Supraspinale sf</v>
      </c>
      <c r="D18" s="20">
        <f>'sum(meas)-suma(med)'!D18^2</f>
        <v>0</v>
      </c>
      <c r="E18" s="20">
        <f>'sum(meas)-suma(med)'!E18^2</f>
        <v>0</v>
      </c>
      <c r="F18" s="20">
        <f>'sum(meas)-suma(med)'!F18^2</f>
        <v>0</v>
      </c>
      <c r="G18" s="20">
        <f>'sum(meas)-suma(med)'!G18^2</f>
        <v>0</v>
      </c>
      <c r="H18" s="20">
        <f>'sum(meas)-suma(med)'!H18^2</f>
        <v>0</v>
      </c>
      <c r="I18" s="20">
        <f>'sum(meas)-suma(med)'!I18^2</f>
        <v>0</v>
      </c>
      <c r="J18" s="20">
        <f>'sum(meas)-suma(med)'!J18^2</f>
        <v>100</v>
      </c>
      <c r="K18" s="20">
        <f>'sum(meas)-suma(med)'!K18^2</f>
        <v>256</v>
      </c>
      <c r="L18" s="20">
        <f>'sum(meas)-suma(med)'!L18^2</f>
        <v>0</v>
      </c>
      <c r="M18" s="20">
        <f>'sum(meas)-suma(med)'!M18^2</f>
        <v>144</v>
      </c>
      <c r="N18" s="20">
        <f>'sum(meas)-suma(med)'!N18^2</f>
        <v>400</v>
      </c>
      <c r="O18" s="20">
        <f>'sum(meas)-suma(med)'!O18^2</f>
        <v>100</v>
      </c>
      <c r="P18" s="20">
        <f>'sum(meas)-suma(med)'!P18^2</f>
        <v>81</v>
      </c>
      <c r="Q18" s="20">
        <f>'sum(meas)-suma(med)'!Q18^2</f>
        <v>484</v>
      </c>
      <c r="R18" s="20">
        <f>'sum(meas)-suma(med)'!R18^2</f>
        <v>0</v>
      </c>
      <c r="S18" s="20">
        <f>'sum(meas)-suma(med)'!S18^2</f>
        <v>0</v>
      </c>
      <c r="T18" s="20">
        <f>'sum(meas)-suma(med)'!T18^2</f>
        <v>0</v>
      </c>
      <c r="U18" s="20">
        <f>'sum(meas)-suma(med)'!U18^2</f>
        <v>420.25</v>
      </c>
      <c r="V18" s="20">
        <f>'sum(meas)-suma(med)'!V18^2</f>
        <v>0</v>
      </c>
      <c r="W18" s="20">
        <f>'sum(meas)-suma(med)'!W18^2</f>
        <v>361</v>
      </c>
      <c r="X18" s="17"/>
      <c r="Y18" s="20">
        <f t="shared" si="0"/>
        <v>2346.25</v>
      </c>
      <c r="Z18" s="17"/>
      <c r="AA18" s="22">
        <f>'sum(meas)-suma(med)'!AA18^2</f>
        <v>19182.25</v>
      </c>
    </row>
    <row r="19" spans="2:27">
      <c r="B19" s="27">
        <f>'Measures-Medidas'!B19</f>
        <v>10</v>
      </c>
      <c r="C19" s="17" t="str">
        <f>'Measures-Medidas'!C19</f>
        <v>Abdominal sf</v>
      </c>
      <c r="D19" s="20">
        <f>'sum(meas)-suma(med)'!D19^2</f>
        <v>0</v>
      </c>
      <c r="E19" s="20">
        <f>'sum(meas)-suma(med)'!E19^2</f>
        <v>0</v>
      </c>
      <c r="F19" s="20">
        <f>'sum(meas)-suma(med)'!F19^2</f>
        <v>0</v>
      </c>
      <c r="G19" s="20">
        <f>'sum(meas)-suma(med)'!G19^2</f>
        <v>0</v>
      </c>
      <c r="H19" s="20">
        <f>'sum(meas)-suma(med)'!H19^2</f>
        <v>0</v>
      </c>
      <c r="I19" s="20">
        <f>'sum(meas)-suma(med)'!I19^2</f>
        <v>0</v>
      </c>
      <c r="J19" s="20">
        <f>'sum(meas)-suma(med)'!J19^2</f>
        <v>225</v>
      </c>
      <c r="K19" s="20">
        <f>'sum(meas)-suma(med)'!K19^2</f>
        <v>784</v>
      </c>
      <c r="L19" s="20">
        <f>'sum(meas)-suma(med)'!L19^2</f>
        <v>0</v>
      </c>
      <c r="M19" s="20">
        <f>'sum(meas)-suma(med)'!M19^2</f>
        <v>676</v>
      </c>
      <c r="N19" s="20">
        <f>'sum(meas)-suma(med)'!N19^2</f>
        <v>961</v>
      </c>
      <c r="O19" s="20">
        <f>'sum(meas)-suma(med)'!O19^2</f>
        <v>196</v>
      </c>
      <c r="P19" s="20">
        <f>'sum(meas)-suma(med)'!P19^2</f>
        <v>81</v>
      </c>
      <c r="Q19" s="20">
        <f>'sum(meas)-suma(med)'!Q19^2</f>
        <v>2304</v>
      </c>
      <c r="R19" s="20">
        <f>'sum(meas)-suma(med)'!R19^2</f>
        <v>0</v>
      </c>
      <c r="S19" s="20">
        <f>'sum(meas)-suma(med)'!S19^2</f>
        <v>0</v>
      </c>
      <c r="T19" s="20">
        <f>'sum(meas)-suma(med)'!T19^2</f>
        <v>0</v>
      </c>
      <c r="U19" s="20">
        <f>'sum(meas)-suma(med)'!U19^2</f>
        <v>3364</v>
      </c>
      <c r="V19" s="20">
        <f>'sum(meas)-suma(med)'!V19^2</f>
        <v>0</v>
      </c>
      <c r="W19" s="20">
        <f>'sum(meas)-suma(med)'!W19^2</f>
        <v>0</v>
      </c>
      <c r="X19" s="17"/>
      <c r="Y19" s="20">
        <f t="shared" si="0"/>
        <v>8591</v>
      </c>
      <c r="Z19" s="17"/>
      <c r="AA19" s="22">
        <f>'sum(meas)-suma(med)'!AA19^2</f>
        <v>52441</v>
      </c>
    </row>
    <row r="20" spans="2:27">
      <c r="B20" s="27">
        <f>'Measures-Medidas'!B20</f>
        <v>11</v>
      </c>
      <c r="C20" s="17" t="str">
        <f>'Measures-Medidas'!C20</f>
        <v>Thigh sf</v>
      </c>
      <c r="D20" s="20">
        <f>'sum(meas)-suma(med)'!D20^2</f>
        <v>0</v>
      </c>
      <c r="E20" s="20">
        <f>'sum(meas)-suma(med)'!E20^2</f>
        <v>0</v>
      </c>
      <c r="F20" s="20">
        <f>'sum(meas)-suma(med)'!F20^2</f>
        <v>0</v>
      </c>
      <c r="G20" s="20">
        <f>'sum(meas)-suma(med)'!G20^2</f>
        <v>0</v>
      </c>
      <c r="H20" s="20">
        <f>'sum(meas)-suma(med)'!H20^2</f>
        <v>0</v>
      </c>
      <c r="I20" s="20">
        <f>'sum(meas)-suma(med)'!I20^2</f>
        <v>0</v>
      </c>
      <c r="J20" s="20">
        <f>'sum(meas)-suma(med)'!J20^2</f>
        <v>324</v>
      </c>
      <c r="K20" s="20">
        <f>'sum(meas)-suma(med)'!K20^2</f>
        <v>576</v>
      </c>
      <c r="L20" s="20">
        <f>'sum(meas)-suma(med)'!L20^2</f>
        <v>0</v>
      </c>
      <c r="M20" s="20">
        <f>'sum(meas)-suma(med)'!M20^2</f>
        <v>676</v>
      </c>
      <c r="N20" s="20">
        <f>'sum(meas)-suma(med)'!N20^2</f>
        <v>729</v>
      </c>
      <c r="O20" s="20">
        <f>'sum(meas)-suma(med)'!O20^2</f>
        <v>400</v>
      </c>
      <c r="P20" s="20">
        <f>'sum(meas)-suma(med)'!P20^2</f>
        <v>256</v>
      </c>
      <c r="Q20" s="20">
        <f>'sum(meas)-suma(med)'!Q20^2</f>
        <v>484</v>
      </c>
      <c r="R20" s="20">
        <f>'sum(meas)-suma(med)'!R20^2</f>
        <v>0</v>
      </c>
      <c r="S20" s="20">
        <f>'sum(meas)-suma(med)'!S20^2</f>
        <v>0</v>
      </c>
      <c r="T20" s="20">
        <f>'sum(meas)-suma(med)'!T20^2</f>
        <v>0</v>
      </c>
      <c r="U20" s="20">
        <f>'sum(meas)-suma(med)'!U20^2</f>
        <v>529</v>
      </c>
      <c r="V20" s="20">
        <f>'sum(meas)-suma(med)'!V20^2</f>
        <v>0</v>
      </c>
      <c r="W20" s="20">
        <f>'sum(meas)-suma(med)'!W20^2</f>
        <v>0</v>
      </c>
      <c r="X20" s="17"/>
      <c r="Y20" s="20">
        <f t="shared" si="0"/>
        <v>3974</v>
      </c>
      <c r="Z20" s="17"/>
      <c r="AA20" s="22">
        <f>'sum(meas)-suma(med)'!AA20^2</f>
        <v>30976</v>
      </c>
    </row>
    <row r="21" spans="2:27">
      <c r="B21" s="27">
        <f>'Measures-Medidas'!B21</f>
        <v>12</v>
      </c>
      <c r="C21" s="17" t="str">
        <f>'Measures-Medidas'!C21</f>
        <v>Calf sf</v>
      </c>
      <c r="D21" s="20">
        <f>'sum(meas)-suma(med)'!D21^2</f>
        <v>0</v>
      </c>
      <c r="E21" s="20">
        <f>'sum(meas)-suma(med)'!E21^2</f>
        <v>0</v>
      </c>
      <c r="F21" s="20">
        <f>'sum(meas)-suma(med)'!F21^2</f>
        <v>0</v>
      </c>
      <c r="G21" s="20">
        <f>'sum(meas)-suma(med)'!G21^2</f>
        <v>0</v>
      </c>
      <c r="H21" s="20">
        <f>'sum(meas)-suma(med)'!H21^2</f>
        <v>0</v>
      </c>
      <c r="I21" s="20">
        <f>'sum(meas)-suma(med)'!I21^2</f>
        <v>0</v>
      </c>
      <c r="J21" s="20">
        <f>'sum(meas)-suma(med)'!J21^2</f>
        <v>121</v>
      </c>
      <c r="K21" s="20">
        <f>'sum(meas)-suma(med)'!K21^2</f>
        <v>121</v>
      </c>
      <c r="L21" s="20">
        <f>'sum(meas)-suma(med)'!L21^2</f>
        <v>0</v>
      </c>
      <c r="M21" s="20">
        <f>'sum(meas)-suma(med)'!M21^2</f>
        <v>169</v>
      </c>
      <c r="N21" s="20">
        <f>'sum(meas)-suma(med)'!N21^2</f>
        <v>144</v>
      </c>
      <c r="O21" s="20">
        <f>'sum(meas)-suma(med)'!O21^2</f>
        <v>196</v>
      </c>
      <c r="P21" s="20">
        <f>'sum(meas)-suma(med)'!P21^2</f>
        <v>121</v>
      </c>
      <c r="Q21" s="20">
        <f>'sum(meas)-suma(med)'!Q21^2</f>
        <v>100</v>
      </c>
      <c r="R21" s="20">
        <f>'sum(meas)-suma(med)'!R21^2</f>
        <v>0</v>
      </c>
      <c r="S21" s="20">
        <f>'sum(meas)-suma(med)'!S21^2</f>
        <v>0</v>
      </c>
      <c r="T21" s="20">
        <f>'sum(meas)-suma(med)'!T21^2</f>
        <v>0</v>
      </c>
      <c r="U21" s="20">
        <f>'sum(meas)-suma(med)'!U21^2</f>
        <v>144</v>
      </c>
      <c r="V21" s="20">
        <f>'sum(meas)-suma(med)'!V21^2</f>
        <v>0</v>
      </c>
      <c r="W21" s="20">
        <f>'sum(meas)-suma(med)'!W21^2</f>
        <v>0</v>
      </c>
      <c r="X21" s="17"/>
      <c r="Y21" s="20">
        <f t="shared" si="0"/>
        <v>1116</v>
      </c>
      <c r="Z21" s="17"/>
      <c r="AA21" s="22">
        <f>'sum(meas)-suma(med)'!AA21^2</f>
        <v>8836</v>
      </c>
    </row>
    <row r="22" spans="2:27">
      <c r="B22" s="27">
        <f>'Measures-Medidas'!B22</f>
        <v>13</v>
      </c>
      <c r="C22" s="17" t="str">
        <f>'Measures-Medidas'!C22</f>
        <v>Arm girth relaxed</v>
      </c>
      <c r="D22" s="20">
        <f>'sum(meas)-suma(med)'!D22^2</f>
        <v>0</v>
      </c>
      <c r="E22" s="20">
        <f>'sum(meas)-suma(med)'!E22^2</f>
        <v>0</v>
      </c>
      <c r="F22" s="20">
        <f>'sum(meas)-suma(med)'!F22^2</f>
        <v>0</v>
      </c>
      <c r="G22" s="20">
        <f>'sum(meas)-suma(med)'!G22^2</f>
        <v>0</v>
      </c>
      <c r="H22" s="20">
        <f>'sum(meas)-suma(med)'!H22^2</f>
        <v>0</v>
      </c>
      <c r="I22" s="20">
        <f>'sum(meas)-suma(med)'!I22^2</f>
        <v>0</v>
      </c>
      <c r="J22" s="20">
        <f>'sum(meas)-suma(med)'!J22^2</f>
        <v>4844.1599999999989</v>
      </c>
      <c r="K22" s="20">
        <f>'sum(meas)-suma(med)'!K22^2</f>
        <v>2500</v>
      </c>
      <c r="L22" s="20">
        <f>'sum(meas)-suma(med)'!L22^2</f>
        <v>0</v>
      </c>
      <c r="M22" s="20">
        <f>'sum(meas)-suma(med)'!M22^2</f>
        <v>4747.2100000000009</v>
      </c>
      <c r="N22" s="20">
        <f>'sum(meas)-suma(med)'!N22^2</f>
        <v>5329</v>
      </c>
      <c r="O22" s="20">
        <f>'sum(meas)-suma(med)'!O22^2</f>
        <v>3721</v>
      </c>
      <c r="P22" s="20">
        <f>'sum(meas)-suma(med)'!P22^2</f>
        <v>4624</v>
      </c>
      <c r="Q22" s="20">
        <f>'sum(meas)-suma(med)'!Q22^2</f>
        <v>4489</v>
      </c>
      <c r="R22" s="20">
        <f>'sum(meas)-suma(med)'!R22^2</f>
        <v>0</v>
      </c>
      <c r="S22" s="20">
        <f>'sum(meas)-suma(med)'!S22^2</f>
        <v>0</v>
      </c>
      <c r="T22" s="20">
        <f>'sum(meas)-suma(med)'!T22^2</f>
        <v>0</v>
      </c>
      <c r="U22" s="20">
        <f>'sum(meas)-suma(med)'!U22^2</f>
        <v>5256.25</v>
      </c>
      <c r="V22" s="20">
        <f>'sum(meas)-suma(med)'!V22^2</f>
        <v>0</v>
      </c>
      <c r="W22" s="20">
        <f>'sum(meas)-suma(med)'!W22^2</f>
        <v>0</v>
      </c>
      <c r="X22" s="17"/>
      <c r="Y22" s="20">
        <f t="shared" si="0"/>
        <v>35510.619999999995</v>
      </c>
      <c r="Z22" s="17"/>
      <c r="AA22" s="22">
        <f>'sum(meas)-suma(med)'!AA22^2</f>
        <v>280900</v>
      </c>
    </row>
    <row r="23" spans="2:27">
      <c r="B23" s="27">
        <f>'Measures-Medidas'!B23</f>
        <v>14</v>
      </c>
      <c r="C23" s="17" t="str">
        <f>'Measures-Medidas'!C23</f>
        <v>Arm girth flexed and tensed</v>
      </c>
      <c r="D23" s="20">
        <f>'sum(meas)-suma(med)'!D23^2</f>
        <v>0</v>
      </c>
      <c r="E23" s="20">
        <f>'sum(meas)-suma(med)'!E23^2</f>
        <v>0</v>
      </c>
      <c r="F23" s="20">
        <f>'sum(meas)-suma(med)'!F23^2</f>
        <v>0</v>
      </c>
      <c r="G23" s="20">
        <f>'sum(meas)-suma(med)'!G23^2</f>
        <v>0</v>
      </c>
      <c r="H23" s="20">
        <f>'sum(meas)-suma(med)'!H23^2</f>
        <v>0</v>
      </c>
      <c r="I23" s="20">
        <f>'sum(meas)-suma(med)'!I23^2</f>
        <v>0</v>
      </c>
      <c r="J23" s="20">
        <f>'sum(meas)-suma(med)'!J23^2</f>
        <v>5867.5599999999995</v>
      </c>
      <c r="K23" s="20">
        <f>'sum(meas)-suma(med)'!K23^2</f>
        <v>2745.7599999999998</v>
      </c>
      <c r="L23" s="20">
        <f>'sum(meas)-suma(med)'!L23^2</f>
        <v>0</v>
      </c>
      <c r="M23" s="20">
        <f>'sum(meas)-suma(med)'!M23^2</f>
        <v>5520.4900000000016</v>
      </c>
      <c r="N23" s="20">
        <f>'sum(meas)-suma(med)'!N23^2</f>
        <v>6328.2024999999994</v>
      </c>
      <c r="O23" s="20">
        <f>'sum(meas)-suma(med)'!O23^2</f>
        <v>4356</v>
      </c>
      <c r="P23" s="20">
        <f>'sum(meas)-suma(med)'!P23^2</f>
        <v>6084</v>
      </c>
      <c r="Q23" s="20">
        <f>'sum(meas)-suma(med)'!Q23^2</f>
        <v>5625</v>
      </c>
      <c r="R23" s="20">
        <f>'sum(meas)-suma(med)'!R23^2</f>
        <v>0</v>
      </c>
      <c r="S23" s="20">
        <f>'sum(meas)-suma(med)'!S23^2</f>
        <v>0</v>
      </c>
      <c r="T23" s="20">
        <f>'sum(meas)-suma(med)'!T23^2</f>
        <v>0</v>
      </c>
      <c r="U23" s="20">
        <f>'sum(meas)-suma(med)'!U23^2</f>
        <v>6084</v>
      </c>
      <c r="V23" s="20">
        <f>'sum(meas)-suma(med)'!V23^2</f>
        <v>0</v>
      </c>
      <c r="W23" s="20">
        <f>'sum(meas)-suma(med)'!W23^2</f>
        <v>0</v>
      </c>
      <c r="X23" s="17"/>
      <c r="Y23" s="20">
        <f t="shared" si="0"/>
        <v>42611.012499999997</v>
      </c>
      <c r="Z23" s="17"/>
      <c r="AA23" s="22">
        <f>'sum(meas)-suma(med)'!AA23^2</f>
        <v>336226.02250000002</v>
      </c>
    </row>
    <row r="24" spans="2:27">
      <c r="B24" s="27">
        <f>'Measures-Medidas'!B24</f>
        <v>15</v>
      </c>
      <c r="C24" s="17" t="str">
        <f>'Measures-Medidas'!C24</f>
        <v>Waist girth</v>
      </c>
      <c r="D24" s="20">
        <f>'sum(meas)-suma(med)'!D24^2</f>
        <v>0</v>
      </c>
      <c r="E24" s="20">
        <f>'sum(meas)-suma(med)'!E24^2</f>
        <v>0</v>
      </c>
      <c r="F24" s="20">
        <f>'sum(meas)-suma(med)'!F24^2</f>
        <v>0</v>
      </c>
      <c r="G24" s="20">
        <f>'sum(meas)-suma(med)'!G24^2</f>
        <v>0</v>
      </c>
      <c r="H24" s="20">
        <f>'sum(meas)-suma(med)'!H24^2</f>
        <v>0</v>
      </c>
      <c r="I24" s="20">
        <f>'sum(meas)-suma(med)'!I24^2</f>
        <v>0</v>
      </c>
      <c r="J24" s="20">
        <f>'sum(meas)-suma(med)'!J24^2</f>
        <v>24025</v>
      </c>
      <c r="K24" s="20">
        <f>'sum(meas)-suma(med)'!K24^2</f>
        <v>16641</v>
      </c>
      <c r="L24" s="20">
        <f>'sum(meas)-suma(med)'!L24^2</f>
        <v>0</v>
      </c>
      <c r="M24" s="20">
        <f>'sum(meas)-suma(med)'!M24^2</f>
        <v>23104</v>
      </c>
      <c r="N24" s="20">
        <f>'sum(meas)-suma(med)'!N24^2</f>
        <v>25921</v>
      </c>
      <c r="O24" s="20">
        <f>'sum(meas)-suma(med)'!O24^2</f>
        <v>24336</v>
      </c>
      <c r="P24" s="20">
        <f>'sum(meas)-suma(med)'!P24^2</f>
        <v>24806.25</v>
      </c>
      <c r="Q24" s="20">
        <f>'sum(meas)-suma(med)'!Q24^2</f>
        <v>27556</v>
      </c>
      <c r="R24" s="20">
        <f>'sum(meas)-suma(med)'!R24^2</f>
        <v>0</v>
      </c>
      <c r="S24" s="20">
        <f>'sum(meas)-suma(med)'!S24^2</f>
        <v>0</v>
      </c>
      <c r="T24" s="20">
        <f>'sum(meas)-suma(med)'!T24^2</f>
        <v>0</v>
      </c>
      <c r="U24" s="20">
        <f>'sum(meas)-suma(med)'!U24^2</f>
        <v>26569</v>
      </c>
      <c r="V24" s="20">
        <f>'sum(meas)-suma(med)'!V24^2</f>
        <v>0</v>
      </c>
      <c r="W24" s="20">
        <f>'sum(meas)-suma(med)'!W24^2</f>
        <v>17424</v>
      </c>
      <c r="X24" s="17"/>
      <c r="Y24" s="20">
        <f t="shared" si="0"/>
        <v>210382.25</v>
      </c>
      <c r="Z24" s="17"/>
      <c r="AA24" s="22">
        <f>'sum(meas)-suma(med)'!AA24^2</f>
        <v>1881012.25</v>
      </c>
    </row>
    <row r="25" spans="2:27">
      <c r="B25" s="27">
        <f>'Measures-Medidas'!B25</f>
        <v>16</v>
      </c>
      <c r="C25" s="17" t="str">
        <f>'Measures-Medidas'!C25</f>
        <v>Hips girth</v>
      </c>
      <c r="D25" s="20">
        <f>'sum(meas)-suma(med)'!D25^2</f>
        <v>0</v>
      </c>
      <c r="E25" s="20">
        <f>'sum(meas)-suma(med)'!E25^2</f>
        <v>0</v>
      </c>
      <c r="F25" s="20">
        <f>'sum(meas)-suma(med)'!F25^2</f>
        <v>0</v>
      </c>
      <c r="G25" s="20">
        <f>'sum(meas)-suma(med)'!G25^2</f>
        <v>0</v>
      </c>
      <c r="H25" s="20">
        <f>'sum(meas)-suma(med)'!H25^2</f>
        <v>0</v>
      </c>
      <c r="I25" s="20">
        <f>'sum(meas)-suma(med)'!I25^2</f>
        <v>0</v>
      </c>
      <c r="J25" s="20">
        <f>'sum(meas)-suma(med)'!J25^2</f>
        <v>34596</v>
      </c>
      <c r="K25" s="20">
        <f>'sum(meas)-suma(med)'!K25^2</f>
        <v>33160.409999999996</v>
      </c>
      <c r="L25" s="20">
        <f>'sum(meas)-suma(med)'!L25^2</f>
        <v>0</v>
      </c>
      <c r="M25" s="20">
        <f>'sum(meas)-suma(med)'!M25^2</f>
        <v>32544.160000000003</v>
      </c>
      <c r="N25" s="20">
        <f>'sum(meas)-suma(med)'!N25^2</f>
        <v>38848.409999999996</v>
      </c>
      <c r="O25" s="20">
        <f>'sum(meas)-suma(med)'!O25^2</f>
        <v>33489</v>
      </c>
      <c r="P25" s="20">
        <f>'sum(meas)-suma(med)'!P25^2</f>
        <v>36100</v>
      </c>
      <c r="Q25" s="20">
        <f>'sum(meas)-suma(med)'!Q25^2</f>
        <v>33489</v>
      </c>
      <c r="R25" s="20">
        <f>'sum(meas)-suma(med)'!R25^2</f>
        <v>0</v>
      </c>
      <c r="S25" s="20">
        <f>'sum(meas)-suma(med)'!S25^2</f>
        <v>0</v>
      </c>
      <c r="T25" s="20">
        <f>'sum(meas)-suma(med)'!T25^2</f>
        <v>0</v>
      </c>
      <c r="U25" s="20">
        <f>'sum(meas)-suma(med)'!U25^2</f>
        <v>36290.25</v>
      </c>
      <c r="V25" s="20">
        <f>'sum(meas)-suma(med)'!V25^2</f>
        <v>0</v>
      </c>
      <c r="W25" s="20">
        <f>'sum(meas)-suma(med)'!W25^2</f>
        <v>33306.25</v>
      </c>
      <c r="X25" s="17"/>
      <c r="Y25" s="20">
        <f t="shared" si="0"/>
        <v>311823.48</v>
      </c>
      <c r="Z25" s="17"/>
      <c r="AA25" s="22">
        <f>'sum(meas)-suma(med)'!AA25^2</f>
        <v>2804285.1599999997</v>
      </c>
    </row>
    <row r="26" spans="2:27">
      <c r="B26" s="27">
        <f>'Measures-Medidas'!B26</f>
        <v>17</v>
      </c>
      <c r="C26" s="17" t="str">
        <f>'Measures-Medidas'!C26</f>
        <v>Thigh middle girth</v>
      </c>
      <c r="D26" s="20">
        <f>'sum(meas)-suma(med)'!D26^2</f>
        <v>0</v>
      </c>
      <c r="E26" s="20">
        <f>'sum(meas)-suma(med)'!E26^2</f>
        <v>0</v>
      </c>
      <c r="F26" s="20">
        <f>'sum(meas)-suma(med)'!F26^2</f>
        <v>0</v>
      </c>
      <c r="G26" s="20">
        <f>'sum(meas)-suma(med)'!G26^2</f>
        <v>0</v>
      </c>
      <c r="H26" s="20">
        <f>'sum(meas)-suma(med)'!H26^2</f>
        <v>0</v>
      </c>
      <c r="I26" s="20">
        <f>'sum(meas)-suma(med)'!I26^2</f>
        <v>0</v>
      </c>
      <c r="J26" s="20">
        <f>'sum(meas)-suma(med)'!J26^2</f>
        <v>11236</v>
      </c>
      <c r="K26" s="20">
        <f>'sum(meas)-suma(med)'!K26^2</f>
        <v>8281</v>
      </c>
      <c r="L26" s="20">
        <f>'sum(meas)-suma(med)'!L26^2</f>
        <v>0</v>
      </c>
      <c r="M26" s="20">
        <f>'sum(meas)-suma(med)'!M26^2</f>
        <v>10816</v>
      </c>
      <c r="N26" s="20">
        <f>'sum(meas)-suma(med)'!N26^2</f>
        <v>14161</v>
      </c>
      <c r="O26" s="20">
        <f>'sum(meas)-suma(med)'!O26^2</f>
        <v>9604</v>
      </c>
      <c r="P26" s="20">
        <f>'sum(meas)-suma(med)'!P26^2</f>
        <v>12122.009999999998</v>
      </c>
      <c r="Q26" s="20">
        <f>'sum(meas)-suma(med)'!Q26^2</f>
        <v>10201</v>
      </c>
      <c r="R26" s="20">
        <f>'sum(meas)-suma(med)'!R26^2</f>
        <v>0</v>
      </c>
      <c r="S26" s="20">
        <f>'sum(meas)-suma(med)'!S26^2</f>
        <v>0</v>
      </c>
      <c r="T26" s="20">
        <f>'sum(meas)-suma(med)'!T26^2</f>
        <v>0</v>
      </c>
      <c r="U26" s="20">
        <f>'sum(meas)-suma(med)'!U26^2</f>
        <v>12656.25</v>
      </c>
      <c r="V26" s="20">
        <f>'sum(meas)-suma(med)'!V26^2</f>
        <v>0</v>
      </c>
      <c r="W26" s="20">
        <f>'sum(meas)-suma(med)'!W26^2</f>
        <v>0</v>
      </c>
      <c r="X26" s="17"/>
      <c r="Y26" s="20">
        <f t="shared" si="0"/>
        <v>89077.26</v>
      </c>
      <c r="Z26" s="17"/>
      <c r="AA26" s="22">
        <f>'sum(meas)-suma(med)'!AA26^2</f>
        <v>708290.56000000006</v>
      </c>
    </row>
    <row r="27" spans="2:27">
      <c r="B27" s="27">
        <f>'Measures-Medidas'!B27</f>
        <v>18</v>
      </c>
      <c r="C27" s="17" t="str">
        <f>'Measures-Medidas'!C27</f>
        <v>Calf girth</v>
      </c>
      <c r="D27" s="20">
        <f>'sum(meas)-suma(med)'!D27^2</f>
        <v>0</v>
      </c>
      <c r="E27" s="20">
        <f>'sum(meas)-suma(med)'!E27^2</f>
        <v>0</v>
      </c>
      <c r="F27" s="20">
        <f>'sum(meas)-suma(med)'!F27^2</f>
        <v>0</v>
      </c>
      <c r="G27" s="20">
        <f>'sum(meas)-suma(med)'!G27^2</f>
        <v>0</v>
      </c>
      <c r="H27" s="20">
        <f>'sum(meas)-suma(med)'!H27^2</f>
        <v>0</v>
      </c>
      <c r="I27" s="20">
        <f>'sum(meas)-suma(med)'!I27^2</f>
        <v>0</v>
      </c>
      <c r="J27" s="20">
        <f>'sum(meas)-suma(med)'!J27^2</f>
        <v>5476</v>
      </c>
      <c r="K27" s="20">
        <f>'sum(meas)-suma(med)'!K27^2</f>
        <v>4225</v>
      </c>
      <c r="L27" s="20">
        <f>'sum(meas)-suma(med)'!L27^2</f>
        <v>0</v>
      </c>
      <c r="M27" s="20">
        <f>'sum(meas)-suma(med)'!M27^2</f>
        <v>5041</v>
      </c>
      <c r="N27" s="20">
        <f>'sum(meas)-suma(med)'!N27^2</f>
        <v>5929</v>
      </c>
      <c r="O27" s="20">
        <f>'sum(meas)-suma(med)'!O27^2</f>
        <v>4624</v>
      </c>
      <c r="P27" s="20">
        <f>'sum(meas)-suma(med)'!P27^2</f>
        <v>5184</v>
      </c>
      <c r="Q27" s="20">
        <f>'sum(meas)-suma(med)'!Q27^2</f>
        <v>4624</v>
      </c>
      <c r="R27" s="20">
        <f>'sum(meas)-suma(med)'!R27^2</f>
        <v>0</v>
      </c>
      <c r="S27" s="20">
        <f>'sum(meas)-suma(med)'!S27^2</f>
        <v>0</v>
      </c>
      <c r="T27" s="20">
        <f>'sum(meas)-suma(med)'!T27^2</f>
        <v>0</v>
      </c>
      <c r="U27" s="20">
        <f>'sum(meas)-suma(med)'!U27^2</f>
        <v>5256.25</v>
      </c>
      <c r="V27" s="20">
        <f>'sum(meas)-suma(med)'!V27^2</f>
        <v>0</v>
      </c>
      <c r="W27" s="20">
        <f>'sum(meas)-suma(med)'!W27^2</f>
        <v>0</v>
      </c>
      <c r="Y27" s="20">
        <f t="shared" si="0"/>
        <v>40359.25</v>
      </c>
      <c r="AA27" s="22">
        <f>'sum(meas)-suma(med)'!AA27^2</f>
        <v>322056.25</v>
      </c>
    </row>
    <row r="28" spans="2:27">
      <c r="B28" s="27">
        <f>'Measures-Medidas'!B28</f>
        <v>19</v>
      </c>
      <c r="C28" s="17" t="str">
        <f>'Measures-Medidas'!C28</f>
        <v>Humerus breadth</v>
      </c>
      <c r="D28" s="20">
        <f>'sum(meas)-suma(med)'!D28^2</f>
        <v>0</v>
      </c>
      <c r="E28" s="20">
        <f>'sum(meas)-suma(med)'!E28^2</f>
        <v>0</v>
      </c>
      <c r="F28" s="20">
        <f>'sum(meas)-suma(med)'!F28^2</f>
        <v>0</v>
      </c>
      <c r="G28" s="20">
        <f>'sum(meas)-suma(med)'!G28^2</f>
        <v>0</v>
      </c>
      <c r="H28" s="20">
        <f>'sum(meas)-suma(med)'!H28^2</f>
        <v>0</v>
      </c>
      <c r="I28" s="20">
        <f>'sum(meas)-suma(med)'!I28^2</f>
        <v>0</v>
      </c>
      <c r="J28" s="20">
        <f>'sum(meas)-suma(med)'!J28^2</f>
        <v>201.64</v>
      </c>
      <c r="K28" s="20">
        <f>'sum(meas)-suma(med)'!K28^2</f>
        <v>144</v>
      </c>
      <c r="L28" s="20">
        <f>'sum(meas)-suma(med)'!L28^2</f>
        <v>0</v>
      </c>
      <c r="M28" s="20">
        <f>'sum(meas)-suma(med)'!M28^2</f>
        <v>190.44000000000003</v>
      </c>
      <c r="N28" s="20">
        <f>'sum(meas)-suma(med)'!N28^2</f>
        <v>207.36</v>
      </c>
      <c r="O28" s="20">
        <f>'sum(meas)-suma(med)'!O28^2</f>
        <v>174.23999999999998</v>
      </c>
      <c r="P28" s="20">
        <f>'sum(meas)-suma(med)'!P28^2</f>
        <v>207.36</v>
      </c>
      <c r="Q28" s="20">
        <f>'sum(meas)-suma(med)'!Q28^2</f>
        <v>179.56</v>
      </c>
      <c r="R28" s="20">
        <f>'sum(meas)-suma(med)'!R28^2</f>
        <v>0</v>
      </c>
      <c r="S28" s="20">
        <f>'sum(meas)-suma(med)'!S28^2</f>
        <v>0</v>
      </c>
      <c r="T28" s="20">
        <f>'sum(meas)-suma(med)'!T28^2</f>
        <v>0</v>
      </c>
      <c r="U28" s="20">
        <f>'sum(meas)-suma(med)'!U28^2</f>
        <v>0</v>
      </c>
      <c r="V28" s="20">
        <f>'sum(meas)-suma(med)'!V28^2</f>
        <v>0</v>
      </c>
      <c r="W28" s="20">
        <f>'sum(meas)-suma(med)'!W28^2</f>
        <v>0</v>
      </c>
      <c r="Y28" s="20">
        <f t="shared" si="0"/>
        <v>1304.5999999999999</v>
      </c>
      <c r="AA28" s="22">
        <f>'sum(meas)-suma(med)'!AA28^2</f>
        <v>9101.1600000000017</v>
      </c>
    </row>
    <row r="29" spans="2:27">
      <c r="B29" s="27">
        <f>'Measures-Medidas'!B29</f>
        <v>20</v>
      </c>
      <c r="C29" s="17" t="str">
        <f>'Measures-Medidas'!C29</f>
        <v>Bi-styloid breadth</v>
      </c>
      <c r="D29" s="20">
        <f>'sum(meas)-suma(med)'!D29^2</f>
        <v>0</v>
      </c>
      <c r="E29" s="20">
        <f>'sum(meas)-suma(med)'!E29^2</f>
        <v>0</v>
      </c>
      <c r="F29" s="20">
        <f>'sum(meas)-suma(med)'!F29^2</f>
        <v>0</v>
      </c>
      <c r="G29" s="20">
        <f>'sum(meas)-suma(med)'!G29^2</f>
        <v>0</v>
      </c>
      <c r="H29" s="20">
        <f>'sum(meas)-suma(med)'!H29^2</f>
        <v>0</v>
      </c>
      <c r="I29" s="20">
        <f>'sum(meas)-suma(med)'!I29^2</f>
        <v>0</v>
      </c>
      <c r="J29" s="20">
        <f>'sum(meas)-suma(med)'!J29^2</f>
        <v>134.56</v>
      </c>
      <c r="K29" s="20">
        <f>'sum(meas)-suma(med)'!K29^2</f>
        <v>92.16</v>
      </c>
      <c r="L29" s="20">
        <f>'sum(meas)-suma(med)'!L29^2</f>
        <v>0</v>
      </c>
      <c r="M29" s="20">
        <f>'sum(meas)-suma(med)'!M29^2</f>
        <v>129.96</v>
      </c>
      <c r="N29" s="20">
        <f>'sum(meas)-suma(med)'!N29^2</f>
        <v>121</v>
      </c>
      <c r="O29" s="20">
        <f>'sum(meas)-suma(med)'!O29^2</f>
        <v>144</v>
      </c>
      <c r="P29" s="20">
        <f>'sum(meas)-suma(med)'!P29^2</f>
        <v>169</v>
      </c>
      <c r="Q29" s="20">
        <f>'sum(meas)-suma(med)'!Q29^2</f>
        <v>108.16000000000001</v>
      </c>
      <c r="R29" s="20">
        <f>'sum(meas)-suma(med)'!R29^2</f>
        <v>0</v>
      </c>
      <c r="S29" s="20">
        <f>'sum(meas)-suma(med)'!S29^2</f>
        <v>0</v>
      </c>
      <c r="T29" s="20">
        <f>'sum(meas)-suma(med)'!T29^2</f>
        <v>0</v>
      </c>
      <c r="U29" s="20">
        <f>'sum(meas)-suma(med)'!U29^2</f>
        <v>0</v>
      </c>
      <c r="V29" s="20">
        <f>'sum(meas)-suma(med)'!V29^2</f>
        <v>0</v>
      </c>
      <c r="W29" s="20">
        <f>'sum(meas)-suma(med)'!W29^2</f>
        <v>0</v>
      </c>
      <c r="Y29" s="20">
        <f t="shared" si="0"/>
        <v>898.84</v>
      </c>
      <c r="AA29" s="22">
        <f>'sum(meas)-suma(med)'!AA29^2</f>
        <v>6241</v>
      </c>
    </row>
    <row r="30" spans="2:27">
      <c r="B30" s="27">
        <f>'Measures-Medidas'!B30</f>
        <v>21</v>
      </c>
      <c r="C30" s="17" t="str">
        <f>'Measures-Medidas'!C30</f>
        <v>Femur breadth</v>
      </c>
      <c r="D30" s="20">
        <f>'sum(meas)-suma(med)'!D30^2</f>
        <v>0</v>
      </c>
      <c r="E30" s="20">
        <f>'sum(meas)-suma(med)'!E30^2</f>
        <v>0</v>
      </c>
      <c r="F30" s="20">
        <f>'sum(meas)-suma(med)'!F30^2</f>
        <v>0</v>
      </c>
      <c r="G30" s="20">
        <f>'sum(meas)-suma(med)'!G30^2</f>
        <v>0</v>
      </c>
      <c r="H30" s="20">
        <f>'sum(meas)-suma(med)'!H30^2</f>
        <v>0</v>
      </c>
      <c r="I30" s="20">
        <f>'sum(meas)-suma(med)'!I30^2</f>
        <v>0</v>
      </c>
      <c r="J30" s="20">
        <f>'sum(meas)-suma(med)'!J30^2</f>
        <v>416.15999999999997</v>
      </c>
      <c r="K30" s="20">
        <f>'sum(meas)-suma(med)'!K30^2</f>
        <v>345.96000000000004</v>
      </c>
      <c r="L30" s="20">
        <f>'sum(meas)-suma(med)'!L30^2</f>
        <v>0</v>
      </c>
      <c r="M30" s="20">
        <f>'sum(meas)-suma(med)'!M30^2</f>
        <v>400</v>
      </c>
      <c r="N30" s="20">
        <f>'sum(meas)-suma(med)'!N30^2</f>
        <v>368.64</v>
      </c>
      <c r="O30" s="20">
        <f>'sum(meas)-suma(med)'!O30^2</f>
        <v>376.35999999999996</v>
      </c>
      <c r="P30" s="20">
        <f>'sum(meas)-suma(med)'!P30^2</f>
        <v>441</v>
      </c>
      <c r="Q30" s="20">
        <f>'sum(meas)-suma(med)'!Q30^2</f>
        <v>324</v>
      </c>
      <c r="R30" s="20">
        <f>'sum(meas)-suma(med)'!R30^2</f>
        <v>0</v>
      </c>
      <c r="S30" s="20">
        <f>'sum(meas)-suma(med)'!S30^2</f>
        <v>0</v>
      </c>
      <c r="T30" s="20">
        <f>'sum(meas)-suma(med)'!T30^2</f>
        <v>0</v>
      </c>
      <c r="U30" s="20">
        <f>'sum(meas)-suma(med)'!U30^2</f>
        <v>0</v>
      </c>
      <c r="V30" s="20">
        <f>'sum(meas)-suma(med)'!V30^2</f>
        <v>0</v>
      </c>
      <c r="W30" s="20">
        <f>'sum(meas)-suma(med)'!W30^2</f>
        <v>0</v>
      </c>
      <c r="Y30" s="20">
        <f t="shared" si="0"/>
        <v>2672.12</v>
      </c>
      <c r="AA30" s="22">
        <f>'sum(meas)-suma(med)'!AA30^2</f>
        <v>18659.559999999998</v>
      </c>
    </row>
  </sheetData>
  <phoneticPr fontId="9" type="noConversion"/>
  <pageMargins left="0" right="0" top="1" bottom="1" header="0.5" footer="0.5"/>
  <pageSetup paperSize="9" orientation="portrait" horizontalDpi="0" verticalDpi="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1"/>
  <dimension ref="B3:AS30"/>
  <sheetViews>
    <sheetView workbookViewId="0">
      <selection activeCell="B5" sqref="B5"/>
    </sheetView>
  </sheetViews>
  <sheetFormatPr baseColWidth="10" defaultColWidth="9.109375" defaultRowHeight="13.2"/>
  <cols>
    <col min="1" max="1" width="2.33203125" style="2" customWidth="1"/>
    <col min="2" max="2" width="4.33203125" style="2" customWidth="1"/>
    <col min="3" max="3" width="27.44140625" style="2" bestFit="1" customWidth="1"/>
    <col min="4" max="43" width="9.109375" style="3" customWidth="1"/>
    <col min="44" max="44" width="2.33203125" style="2" customWidth="1"/>
    <col min="45" max="16384" width="9.109375" style="2"/>
  </cols>
  <sheetData>
    <row r="3" spans="2:45" ht="13.8" thickBot="1"/>
    <row r="4" spans="2:45" ht="16.8" thickTop="1" thickBot="1">
      <c r="B4" s="8" t="str">
        <f>IF(Info!D34=1,"SQUARE OF MEASURES", "CUADRADOS DE LAS MEDIDAS")</f>
        <v>SQUARE OF MEASURES</v>
      </c>
      <c r="C4" s="9"/>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9"/>
      <c r="AS4" s="9"/>
    </row>
    <row r="5" spans="2:45" ht="13.8" thickTop="1"/>
    <row r="6" spans="2:45" ht="13.8" thickBot="1"/>
    <row r="7" spans="2:45" s="6" customFormat="1" ht="13.8" thickTop="1">
      <c r="B7" s="5"/>
      <c r="C7" s="55" t="str">
        <f>'sqr(sum)-cuadrado(sum)'!C7</f>
        <v>Sites for restricted profile</v>
      </c>
      <c r="D7" s="282" t="s">
        <v>0</v>
      </c>
      <c r="E7" s="282"/>
      <c r="F7" s="282" t="s">
        <v>1</v>
      </c>
      <c r="G7" s="282"/>
      <c r="H7" s="282" t="s">
        <v>2</v>
      </c>
      <c r="I7" s="282"/>
      <c r="J7" s="282" t="s">
        <v>3</v>
      </c>
      <c r="K7" s="282"/>
      <c r="L7" s="282" t="s">
        <v>4</v>
      </c>
      <c r="M7" s="282"/>
      <c r="N7" s="282" t="s">
        <v>5</v>
      </c>
      <c r="O7" s="282"/>
      <c r="P7" s="282" t="s">
        <v>6</v>
      </c>
      <c r="Q7" s="282"/>
      <c r="R7" s="282" t="s">
        <v>7</v>
      </c>
      <c r="S7" s="282"/>
      <c r="T7" s="282" t="s">
        <v>8</v>
      </c>
      <c r="U7" s="282"/>
      <c r="V7" s="282" t="s">
        <v>9</v>
      </c>
      <c r="W7" s="282"/>
      <c r="X7" s="282" t="s">
        <v>10</v>
      </c>
      <c r="Y7" s="282"/>
      <c r="Z7" s="282" t="s">
        <v>11</v>
      </c>
      <c r="AA7" s="282"/>
      <c r="AB7" s="282" t="s">
        <v>12</v>
      </c>
      <c r="AC7" s="282"/>
      <c r="AD7" s="282" t="s">
        <v>13</v>
      </c>
      <c r="AE7" s="282"/>
      <c r="AF7" s="282" t="s">
        <v>14</v>
      </c>
      <c r="AG7" s="282"/>
      <c r="AH7" s="282" t="s">
        <v>15</v>
      </c>
      <c r="AI7" s="282"/>
      <c r="AJ7" s="282" t="s">
        <v>16</v>
      </c>
      <c r="AK7" s="282"/>
      <c r="AL7" s="282" t="s">
        <v>17</v>
      </c>
      <c r="AM7" s="282"/>
      <c r="AN7" s="282" t="s">
        <v>18</v>
      </c>
      <c r="AO7" s="282"/>
      <c r="AP7" s="282" t="s">
        <v>19</v>
      </c>
      <c r="AQ7" s="282"/>
      <c r="AR7" s="15"/>
      <c r="AS7" s="60" t="str">
        <f>'sqr(sum)-cuadrado(sum)'!Y7</f>
        <v>Sum</v>
      </c>
    </row>
    <row r="8" spans="2:45" s="7" customFormat="1" ht="13.8" thickBot="1">
      <c r="D8" s="56" t="str">
        <f>'Measures-Medidas'!D8</f>
        <v>measure 1</v>
      </c>
      <c r="E8" s="56" t="str">
        <f>'Measures-Medidas'!E8</f>
        <v>measure 2</v>
      </c>
      <c r="F8" s="56" t="str">
        <f>'Measures-Medidas'!F8</f>
        <v>measure 1</v>
      </c>
      <c r="G8" s="56" t="str">
        <f>'Measures-Medidas'!G8</f>
        <v>measure 2</v>
      </c>
      <c r="H8" s="56" t="str">
        <f>'Measures-Medidas'!H8</f>
        <v>measure 1</v>
      </c>
      <c r="I8" s="56" t="str">
        <f>'Measures-Medidas'!I8</f>
        <v>measure 2</v>
      </c>
      <c r="J8" s="56" t="str">
        <f>'Measures-Medidas'!J8</f>
        <v>measure 1</v>
      </c>
      <c r="K8" s="56" t="str">
        <f>'Measures-Medidas'!K8</f>
        <v>measure 2</v>
      </c>
      <c r="L8" s="56" t="str">
        <f>'Measures-Medidas'!L8</f>
        <v>measure 1</v>
      </c>
      <c r="M8" s="56" t="str">
        <f>'Measures-Medidas'!M8</f>
        <v>measure 2</v>
      </c>
      <c r="N8" s="56" t="str">
        <f>'Measures-Medidas'!N8</f>
        <v>measure 1</v>
      </c>
      <c r="O8" s="56" t="str">
        <f>'Measures-Medidas'!O8</f>
        <v>measure 2</v>
      </c>
      <c r="P8" s="56" t="str">
        <f>'Measures-Medidas'!P8</f>
        <v>measure 1</v>
      </c>
      <c r="Q8" s="56" t="str">
        <f>'Measures-Medidas'!Q8</f>
        <v>measure 2</v>
      </c>
      <c r="R8" s="56" t="str">
        <f>'Measures-Medidas'!R8</f>
        <v>measure 1</v>
      </c>
      <c r="S8" s="56" t="str">
        <f>'Measures-Medidas'!S8</f>
        <v>measure 2</v>
      </c>
      <c r="T8" s="56" t="str">
        <f>'Measures-Medidas'!T8</f>
        <v>measure 1</v>
      </c>
      <c r="U8" s="56" t="str">
        <f>'Measures-Medidas'!U8</f>
        <v>measure 2</v>
      </c>
      <c r="V8" s="56" t="str">
        <f>'Measures-Medidas'!V8</f>
        <v>measure 1</v>
      </c>
      <c r="W8" s="56" t="str">
        <f>'Measures-Medidas'!W8</f>
        <v>measure 2</v>
      </c>
      <c r="X8" s="56" t="str">
        <f>'Measures-Medidas'!X8</f>
        <v>measure 1</v>
      </c>
      <c r="Y8" s="56" t="str">
        <f>'Measures-Medidas'!Y8</f>
        <v>measure 2</v>
      </c>
      <c r="Z8" s="56" t="str">
        <f>'Measures-Medidas'!Z8</f>
        <v>measure 1</v>
      </c>
      <c r="AA8" s="56" t="str">
        <f>'Measures-Medidas'!AA8</f>
        <v>measure 2</v>
      </c>
      <c r="AB8" s="56" t="str">
        <f>'Measures-Medidas'!AB8</f>
        <v>measure 1</v>
      </c>
      <c r="AC8" s="56" t="str">
        <f>'Measures-Medidas'!AC8</f>
        <v>measure 2</v>
      </c>
      <c r="AD8" s="56" t="str">
        <f>'Measures-Medidas'!AD8</f>
        <v>measure 1</v>
      </c>
      <c r="AE8" s="56" t="str">
        <f>'Measures-Medidas'!AE8</f>
        <v>measure 2</v>
      </c>
      <c r="AF8" s="56" t="str">
        <f>'Measures-Medidas'!AF8</f>
        <v>measure 1</v>
      </c>
      <c r="AG8" s="56" t="str">
        <f>'Measures-Medidas'!AG8</f>
        <v>measure 2</v>
      </c>
      <c r="AH8" s="56" t="str">
        <f>'Measures-Medidas'!AH8</f>
        <v>measure 1</v>
      </c>
      <c r="AI8" s="56" t="str">
        <f>'Measures-Medidas'!AI8</f>
        <v>measure 2</v>
      </c>
      <c r="AJ8" s="56" t="str">
        <f>'Measures-Medidas'!AJ8</f>
        <v>measure 1</v>
      </c>
      <c r="AK8" s="56" t="str">
        <f>'Measures-Medidas'!AK8</f>
        <v>measure 2</v>
      </c>
      <c r="AL8" s="56" t="str">
        <f>'Measures-Medidas'!AL8</f>
        <v>measure 1</v>
      </c>
      <c r="AM8" s="56" t="str">
        <f>'Measures-Medidas'!AM8</f>
        <v>measure 2</v>
      </c>
      <c r="AN8" s="56" t="str">
        <f>'Measures-Medidas'!AN8</f>
        <v>measure 1</v>
      </c>
      <c r="AO8" s="56" t="str">
        <f>'Measures-Medidas'!AO8</f>
        <v>measure 2</v>
      </c>
      <c r="AP8" s="56" t="str">
        <f>'Measures-Medidas'!AP8</f>
        <v>measure 1</v>
      </c>
      <c r="AQ8" s="56" t="str">
        <f>'Measures-Medidas'!AQ8</f>
        <v>measure 2</v>
      </c>
      <c r="AR8" s="16"/>
      <c r="AS8" s="63" t="str">
        <f>'sum(meas)-suma(med)'!AE8</f>
        <v>meas 1+2</v>
      </c>
    </row>
    <row r="9" spans="2:45" ht="13.8" thickTop="1">
      <c r="B9" s="15"/>
      <c r="C9" s="17"/>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7"/>
      <c r="AS9" s="17"/>
    </row>
    <row r="10" spans="2:45">
      <c r="B10" s="27">
        <f>'sqr(sum)-cuadrado(sum)'!B10</f>
        <v>1</v>
      </c>
      <c r="C10" s="17" t="str">
        <f>'sqr(sum)-cuadrado(sum)'!C10</f>
        <v>Mass</v>
      </c>
      <c r="D10" s="28">
        <f>'Measures-Medidas'!D10^2</f>
        <v>0</v>
      </c>
      <c r="E10" s="28">
        <f>'Measures-Medidas'!E10^2</f>
        <v>0</v>
      </c>
      <c r="F10" s="28">
        <f>'Measures-Medidas'!F10^2</f>
        <v>0</v>
      </c>
      <c r="G10" s="28">
        <f>'Measures-Medidas'!G10^2</f>
        <v>0</v>
      </c>
      <c r="H10" s="28">
        <f>'Measures-Medidas'!H10^2</f>
        <v>0</v>
      </c>
      <c r="I10" s="28">
        <f>'Measures-Medidas'!I10^2</f>
        <v>0</v>
      </c>
      <c r="J10" s="28">
        <f>'Measures-Medidas'!J10^2</f>
        <v>0</v>
      </c>
      <c r="K10" s="28">
        <f>'Measures-Medidas'!K10^2</f>
        <v>0</v>
      </c>
      <c r="L10" s="28">
        <f>'Measures-Medidas'!L10^2</f>
        <v>0</v>
      </c>
      <c r="M10" s="28">
        <f>'Measures-Medidas'!M10^2</f>
        <v>0</v>
      </c>
      <c r="N10" s="28">
        <f>'Measures-Medidas'!N10^2</f>
        <v>0</v>
      </c>
      <c r="O10" s="28">
        <f>'Measures-Medidas'!O10^2</f>
        <v>0</v>
      </c>
      <c r="P10" s="28">
        <f>'Measures-Medidas'!P10^2</f>
        <v>5990.7600000000011</v>
      </c>
      <c r="Q10" s="28">
        <f>'Measures-Medidas'!Q10^2</f>
        <v>5990.7600000000011</v>
      </c>
      <c r="R10" s="28">
        <f>'Measures-Medidas'!R10^2</f>
        <v>2992.09</v>
      </c>
      <c r="S10" s="28">
        <f>'Measures-Medidas'!S10^2</f>
        <v>2992.09</v>
      </c>
      <c r="T10" s="28">
        <f>'Measures-Medidas'!T10^2</f>
        <v>0</v>
      </c>
      <c r="U10" s="28">
        <f>'Measures-Medidas'!U10^2</f>
        <v>0</v>
      </c>
      <c r="V10" s="28">
        <f>'Measures-Medidas'!V10^2</f>
        <v>5076.5625</v>
      </c>
      <c r="W10" s="28">
        <f>'Measures-Medidas'!W10^2</f>
        <v>5083.6899999999996</v>
      </c>
      <c r="X10" s="28">
        <f>'Measures-Medidas'!X10^2</f>
        <v>6146.5600000000013</v>
      </c>
      <c r="Y10" s="28">
        <f>'Measures-Medidas'!Y10^2</f>
        <v>6146.5600000000013</v>
      </c>
      <c r="Z10" s="28">
        <f>'Measures-Medidas'!Z10^2</f>
        <v>4395.6899999999996</v>
      </c>
      <c r="AA10" s="28">
        <f>'Measures-Medidas'!AA10^2</f>
        <v>4395.6899999999996</v>
      </c>
      <c r="AB10" s="28">
        <f>'Measures-Medidas'!AB10^2</f>
        <v>6988.9599999999991</v>
      </c>
      <c r="AC10" s="28">
        <f>'Measures-Medidas'!AC10^2</f>
        <v>6988.9599999999991</v>
      </c>
      <c r="AD10" s="28">
        <f>'Measures-Medidas'!AD10^2</f>
        <v>4664.8899999999994</v>
      </c>
      <c r="AE10" s="28">
        <f>'Measures-Medidas'!AE10^2</f>
        <v>4664.8899999999994</v>
      </c>
      <c r="AF10" s="28">
        <f>'Measures-Medidas'!AF10^2</f>
        <v>0</v>
      </c>
      <c r="AG10" s="28">
        <f>'Measures-Medidas'!AG10^2</f>
        <v>0</v>
      </c>
      <c r="AH10" s="28">
        <f>'Measures-Medidas'!AH10^2</f>
        <v>0</v>
      </c>
      <c r="AI10" s="28">
        <f>'Measures-Medidas'!AI10^2</f>
        <v>0</v>
      </c>
      <c r="AJ10" s="28">
        <f>'Measures-Medidas'!AJ10^2</f>
        <v>0</v>
      </c>
      <c r="AK10" s="28">
        <f>'Measures-Medidas'!AK10^2</f>
        <v>0</v>
      </c>
      <c r="AL10" s="28">
        <f>'Measures-Medidas'!AL10^2</f>
        <v>0</v>
      </c>
      <c r="AM10" s="28">
        <f>'Measures-Medidas'!AM10^2</f>
        <v>0</v>
      </c>
      <c r="AN10" s="28">
        <f>'Measures-Medidas'!AN10^2</f>
        <v>0</v>
      </c>
      <c r="AO10" s="28">
        <f>'Measures-Medidas'!AO10^2</f>
        <v>0</v>
      </c>
      <c r="AP10" s="28">
        <f>'Measures-Medidas'!AP10^2</f>
        <v>0</v>
      </c>
      <c r="AQ10" s="28">
        <f>'Measures-Medidas'!AQ10^2</f>
        <v>0</v>
      </c>
      <c r="AR10" s="17"/>
      <c r="AS10" s="20">
        <f>SUM(D10:AQ10)</f>
        <v>72518.152500000011</v>
      </c>
    </row>
    <row r="11" spans="2:45">
      <c r="B11" s="27">
        <f>'sqr(sum)-cuadrado(sum)'!B11</f>
        <v>2</v>
      </c>
      <c r="C11" s="17" t="str">
        <f>'sqr(sum)-cuadrado(sum)'!C11</f>
        <v>Stature</v>
      </c>
      <c r="D11" s="28">
        <f>'Measures-Medidas'!D11^2</f>
        <v>0</v>
      </c>
      <c r="E11" s="28">
        <f>'Measures-Medidas'!E11^2</f>
        <v>0</v>
      </c>
      <c r="F11" s="28">
        <f>'Measures-Medidas'!F11^2</f>
        <v>0</v>
      </c>
      <c r="G11" s="28">
        <f>'Measures-Medidas'!G11^2</f>
        <v>0</v>
      </c>
      <c r="H11" s="28">
        <f>'Measures-Medidas'!H11^2</f>
        <v>0</v>
      </c>
      <c r="I11" s="28">
        <f>'Measures-Medidas'!I11^2</f>
        <v>0</v>
      </c>
      <c r="J11" s="28">
        <f>'Measures-Medidas'!J11^2</f>
        <v>0</v>
      </c>
      <c r="K11" s="28">
        <f>'Measures-Medidas'!K11^2</f>
        <v>0</v>
      </c>
      <c r="L11" s="28">
        <f>'Measures-Medidas'!L11^2</f>
        <v>0</v>
      </c>
      <c r="M11" s="28">
        <f>'Measures-Medidas'!M11^2</f>
        <v>0</v>
      </c>
      <c r="N11" s="28">
        <f>'Measures-Medidas'!N11^2</f>
        <v>0</v>
      </c>
      <c r="O11" s="28">
        <f>'Measures-Medidas'!O11^2</f>
        <v>0</v>
      </c>
      <c r="P11" s="28">
        <f>'Measures-Medidas'!P11^2</f>
        <v>30976</v>
      </c>
      <c r="Q11" s="28">
        <f>'Measures-Medidas'!Q11^2</f>
        <v>30976</v>
      </c>
      <c r="R11" s="28">
        <f>'Measures-Medidas'!R11^2</f>
        <v>28224</v>
      </c>
      <c r="S11" s="28">
        <f>'Measures-Medidas'!S11^2</f>
        <v>28224</v>
      </c>
      <c r="T11" s="28">
        <f>'Measures-Medidas'!T11^2</f>
        <v>0</v>
      </c>
      <c r="U11" s="28">
        <f>'Measures-Medidas'!U11^2</f>
        <v>0</v>
      </c>
      <c r="V11" s="28">
        <f>'Measures-Medidas'!V11^2</f>
        <v>32041</v>
      </c>
      <c r="W11" s="28">
        <f>'Measures-Medidas'!W11^2</f>
        <v>32041</v>
      </c>
      <c r="X11" s="28">
        <f>'Measures-Medidas'!X11^2</f>
        <v>29756.25</v>
      </c>
      <c r="Y11" s="28">
        <f>'Measures-Medidas'!Y11^2</f>
        <v>29756.25</v>
      </c>
      <c r="Z11" s="28">
        <f>'Measures-Medidas'!Z11^2</f>
        <v>31329</v>
      </c>
      <c r="AA11" s="28">
        <f>'Measures-Medidas'!AA11^2</f>
        <v>31329</v>
      </c>
      <c r="AB11" s="28">
        <f>'Measures-Medidas'!AB11^2</f>
        <v>33489</v>
      </c>
      <c r="AC11" s="28">
        <f>'Measures-Medidas'!AC11^2</f>
        <v>33489</v>
      </c>
      <c r="AD11" s="28">
        <f>'Measures-Medidas'!AD11^2</f>
        <v>29584</v>
      </c>
      <c r="AE11" s="28">
        <f>'Measures-Medidas'!AE11^2</f>
        <v>29584</v>
      </c>
      <c r="AF11" s="28">
        <f>'Measures-Medidas'!AF11^2</f>
        <v>0</v>
      </c>
      <c r="AG11" s="28">
        <f>'Measures-Medidas'!AG11^2</f>
        <v>0</v>
      </c>
      <c r="AH11" s="28">
        <f>'Measures-Medidas'!AH11^2</f>
        <v>0</v>
      </c>
      <c r="AI11" s="28">
        <f>'Measures-Medidas'!AI11^2</f>
        <v>0</v>
      </c>
      <c r="AJ11" s="28">
        <f>'Measures-Medidas'!AJ11^2</f>
        <v>0</v>
      </c>
      <c r="AK11" s="28">
        <f>'Measures-Medidas'!AK11^2</f>
        <v>0</v>
      </c>
      <c r="AL11" s="28">
        <f>'Measures-Medidas'!AL11^2</f>
        <v>0</v>
      </c>
      <c r="AM11" s="28">
        <f>'Measures-Medidas'!AM11^2</f>
        <v>0</v>
      </c>
      <c r="AN11" s="28">
        <f>'Measures-Medidas'!AN11^2</f>
        <v>0</v>
      </c>
      <c r="AO11" s="28">
        <f>'Measures-Medidas'!AO11^2</f>
        <v>0</v>
      </c>
      <c r="AP11" s="28">
        <f>'Measures-Medidas'!AP11^2</f>
        <v>0</v>
      </c>
      <c r="AQ11" s="28">
        <f>'Measures-Medidas'!AQ11^2</f>
        <v>0</v>
      </c>
      <c r="AR11" s="17"/>
      <c r="AS11" s="20">
        <f t="shared" ref="AS11:AS30" si="0">SUM(D11:AQ11)</f>
        <v>430798.5</v>
      </c>
    </row>
    <row r="12" spans="2:45">
      <c r="B12" s="27">
        <f>'sqr(sum)-cuadrado(sum)'!B12</f>
        <v>3</v>
      </c>
      <c r="C12" s="17" t="str">
        <f>'sqr(sum)-cuadrado(sum)'!C12</f>
        <v>Sitting height</v>
      </c>
      <c r="D12" s="28">
        <f>'Measures-Medidas'!D12^2</f>
        <v>0</v>
      </c>
      <c r="E12" s="28">
        <f>'Measures-Medidas'!E12^2</f>
        <v>0</v>
      </c>
      <c r="F12" s="28">
        <f>'Measures-Medidas'!F12^2</f>
        <v>0</v>
      </c>
      <c r="G12" s="28">
        <f>'Measures-Medidas'!G12^2</f>
        <v>0</v>
      </c>
      <c r="H12" s="28">
        <f>'Measures-Medidas'!H12^2</f>
        <v>0</v>
      </c>
      <c r="I12" s="28">
        <f>'Measures-Medidas'!I12^2</f>
        <v>0</v>
      </c>
      <c r="J12" s="28">
        <f>'Measures-Medidas'!J12^2</f>
        <v>0</v>
      </c>
      <c r="K12" s="28">
        <f>'Measures-Medidas'!K12^2</f>
        <v>0</v>
      </c>
      <c r="L12" s="28">
        <f>'Measures-Medidas'!L12^2</f>
        <v>0</v>
      </c>
      <c r="M12" s="28">
        <f>'Measures-Medidas'!M12^2</f>
        <v>0</v>
      </c>
      <c r="N12" s="28">
        <f>'Measures-Medidas'!N12^2</f>
        <v>0</v>
      </c>
      <c r="O12" s="28">
        <f>'Measures-Medidas'!O12^2</f>
        <v>0</v>
      </c>
      <c r="P12" s="28">
        <f>'Measures-Medidas'!P12^2</f>
        <v>8930.25</v>
      </c>
      <c r="Q12" s="28">
        <f>'Measures-Medidas'!Q12^2</f>
        <v>8930.25</v>
      </c>
      <c r="R12" s="28">
        <f>'Measures-Medidas'!R12^2</f>
        <v>7482.25</v>
      </c>
      <c r="S12" s="28">
        <f>'Measures-Medidas'!S12^2</f>
        <v>7482.25</v>
      </c>
      <c r="T12" s="28">
        <f>'Measures-Medidas'!T12^2</f>
        <v>0</v>
      </c>
      <c r="U12" s="28">
        <f>'Measures-Medidas'!U12^2</f>
        <v>0</v>
      </c>
      <c r="V12" s="28">
        <f>'Measures-Medidas'!V12^2</f>
        <v>9801</v>
      </c>
      <c r="W12" s="28">
        <f>'Measures-Medidas'!W12^2</f>
        <v>9801</v>
      </c>
      <c r="X12" s="28">
        <f>'Measures-Medidas'!X12^2</f>
        <v>8372.25</v>
      </c>
      <c r="Y12" s="28">
        <f>'Measures-Medidas'!Y12^2</f>
        <v>8372.25</v>
      </c>
      <c r="Z12" s="28">
        <f>'Measures-Medidas'!Z12^2</f>
        <v>16512.25</v>
      </c>
      <c r="AA12" s="28">
        <f>'Measures-Medidas'!AA12^2</f>
        <v>16512.25</v>
      </c>
      <c r="AB12" s="28">
        <f>'Measures-Medidas'!AB12^2</f>
        <v>13225</v>
      </c>
      <c r="AC12" s="28">
        <f>'Measures-Medidas'!AC12^2</f>
        <v>13225</v>
      </c>
      <c r="AD12" s="28">
        <f>'Measures-Medidas'!AD12^2</f>
        <v>7225</v>
      </c>
      <c r="AE12" s="28">
        <f>'Measures-Medidas'!AE12^2</f>
        <v>7225</v>
      </c>
      <c r="AF12" s="28">
        <f>'Measures-Medidas'!AF12^2</f>
        <v>0</v>
      </c>
      <c r="AG12" s="28">
        <f>'Measures-Medidas'!AG12^2</f>
        <v>0</v>
      </c>
      <c r="AH12" s="28">
        <f>'Measures-Medidas'!AH12^2</f>
        <v>0</v>
      </c>
      <c r="AI12" s="28">
        <f>'Measures-Medidas'!AI12^2</f>
        <v>0</v>
      </c>
      <c r="AJ12" s="28">
        <f>'Measures-Medidas'!AJ12^2</f>
        <v>0</v>
      </c>
      <c r="AK12" s="28">
        <f>'Measures-Medidas'!AK12^2</f>
        <v>0</v>
      </c>
      <c r="AL12" s="28">
        <f>'Measures-Medidas'!AL12^2</f>
        <v>0</v>
      </c>
      <c r="AM12" s="28">
        <f>'Measures-Medidas'!AM12^2</f>
        <v>0</v>
      </c>
      <c r="AN12" s="28">
        <f>'Measures-Medidas'!AN12^2</f>
        <v>0</v>
      </c>
      <c r="AO12" s="28">
        <f>'Measures-Medidas'!AO12^2</f>
        <v>0</v>
      </c>
      <c r="AP12" s="28">
        <f>'Measures-Medidas'!AP12^2</f>
        <v>0</v>
      </c>
      <c r="AQ12" s="28">
        <f>'Measures-Medidas'!AQ12^2</f>
        <v>0</v>
      </c>
      <c r="AR12" s="17"/>
      <c r="AS12" s="20">
        <f t="shared" si="0"/>
        <v>143096</v>
      </c>
    </row>
    <row r="13" spans="2:45">
      <c r="B13" s="27">
        <f>'sqr(sum)-cuadrado(sum)'!B13</f>
        <v>4</v>
      </c>
      <c r="C13" s="17" t="str">
        <f>'sqr(sum)-cuadrado(sum)'!C13</f>
        <v>Arm Span</v>
      </c>
      <c r="D13" s="28">
        <f>'Measures-Medidas'!D13^2</f>
        <v>0</v>
      </c>
      <c r="E13" s="28">
        <f>'Measures-Medidas'!E13^2</f>
        <v>0</v>
      </c>
      <c r="F13" s="28">
        <f>'Measures-Medidas'!F13^2</f>
        <v>0</v>
      </c>
      <c r="G13" s="28">
        <f>'Measures-Medidas'!G13^2</f>
        <v>0</v>
      </c>
      <c r="H13" s="28">
        <f>'Measures-Medidas'!H13^2</f>
        <v>0</v>
      </c>
      <c r="I13" s="28">
        <f>'Measures-Medidas'!I13^2</f>
        <v>0</v>
      </c>
      <c r="J13" s="28">
        <f>'Measures-Medidas'!J13^2</f>
        <v>0</v>
      </c>
      <c r="K13" s="28">
        <f>'Measures-Medidas'!K13^2</f>
        <v>0</v>
      </c>
      <c r="L13" s="28">
        <f>'Measures-Medidas'!L13^2</f>
        <v>0</v>
      </c>
      <c r="M13" s="28">
        <f>'Measures-Medidas'!M13^2</f>
        <v>0</v>
      </c>
      <c r="N13" s="28">
        <f>'Measures-Medidas'!N13^2</f>
        <v>0</v>
      </c>
      <c r="O13" s="28">
        <f>'Measures-Medidas'!O13^2</f>
        <v>0</v>
      </c>
      <c r="P13" s="28">
        <f>'Measures-Medidas'!P13^2</f>
        <v>29002.090000000004</v>
      </c>
      <c r="Q13" s="28">
        <f>'Measures-Medidas'!Q13^2</f>
        <v>28900</v>
      </c>
      <c r="R13" s="28">
        <f>'Measures-Medidas'!R13^2</f>
        <v>28224</v>
      </c>
      <c r="S13" s="28">
        <f>'Measures-Medidas'!S13^2</f>
        <v>28224</v>
      </c>
      <c r="T13" s="28">
        <f>'Measures-Medidas'!T13^2</f>
        <v>0</v>
      </c>
      <c r="U13" s="28">
        <f>'Measures-Medidas'!U13^2</f>
        <v>0</v>
      </c>
      <c r="V13" s="28">
        <f>'Measures-Medidas'!V13^2</f>
        <v>31862.25</v>
      </c>
      <c r="W13" s="28">
        <f>'Measures-Medidas'!W13^2</f>
        <v>31862.25</v>
      </c>
      <c r="X13" s="28">
        <f>'Measures-Medidas'!X13^2</f>
        <v>29241</v>
      </c>
      <c r="Y13" s="28">
        <f>'Measures-Medidas'!Y13^2</f>
        <v>29241</v>
      </c>
      <c r="Z13" s="28">
        <f>'Measures-Medidas'!Z13^2</f>
        <v>32041</v>
      </c>
      <c r="AA13" s="28">
        <f>'Measures-Medidas'!AA13^2</f>
        <v>32041</v>
      </c>
      <c r="AB13" s="28">
        <f>'Measures-Medidas'!AB13^2</f>
        <v>32220.25</v>
      </c>
      <c r="AC13" s="28">
        <f>'Measures-Medidas'!AC13^2</f>
        <v>32220.25</v>
      </c>
      <c r="AD13" s="28">
        <f>'Measures-Medidas'!AD13^2</f>
        <v>29584</v>
      </c>
      <c r="AE13" s="28">
        <f>'Measures-Medidas'!AE13^2</f>
        <v>29584</v>
      </c>
      <c r="AF13" s="28">
        <f>'Measures-Medidas'!AF13^2</f>
        <v>0</v>
      </c>
      <c r="AG13" s="28">
        <f>'Measures-Medidas'!AG13^2</f>
        <v>0</v>
      </c>
      <c r="AH13" s="28">
        <f>'Measures-Medidas'!AH13^2</f>
        <v>0</v>
      </c>
      <c r="AI13" s="28">
        <f>'Measures-Medidas'!AI13^2</f>
        <v>0</v>
      </c>
      <c r="AJ13" s="28">
        <f>'Measures-Medidas'!AJ13^2</f>
        <v>0</v>
      </c>
      <c r="AK13" s="28">
        <f>'Measures-Medidas'!AK13^2</f>
        <v>0</v>
      </c>
      <c r="AL13" s="28">
        <f>'Measures-Medidas'!AL13^2</f>
        <v>0</v>
      </c>
      <c r="AM13" s="28">
        <f>'Measures-Medidas'!AM13^2</f>
        <v>0</v>
      </c>
      <c r="AN13" s="28">
        <f>'Measures-Medidas'!AN13^2</f>
        <v>0</v>
      </c>
      <c r="AO13" s="28">
        <f>'Measures-Medidas'!AO13^2</f>
        <v>0</v>
      </c>
      <c r="AP13" s="28">
        <f>'Measures-Medidas'!AP13^2</f>
        <v>0</v>
      </c>
      <c r="AQ13" s="28">
        <f>'Measures-Medidas'!AQ13^2</f>
        <v>0</v>
      </c>
      <c r="AR13" s="17"/>
      <c r="AS13" s="20">
        <f t="shared" si="0"/>
        <v>424247.08999999997</v>
      </c>
    </row>
    <row r="14" spans="2:45">
      <c r="B14" s="27">
        <f>'sqr(sum)-cuadrado(sum)'!B14</f>
        <v>5</v>
      </c>
      <c r="C14" s="17" t="str">
        <f>'sqr(sum)-cuadrado(sum)'!C14</f>
        <v>Triceps sf</v>
      </c>
      <c r="D14" s="28">
        <f>'Measures-Medidas'!D14^2</f>
        <v>0</v>
      </c>
      <c r="E14" s="28">
        <f>'Measures-Medidas'!E14^2</f>
        <v>0</v>
      </c>
      <c r="F14" s="28">
        <f>'Measures-Medidas'!F14^2</f>
        <v>0</v>
      </c>
      <c r="G14" s="28">
        <f>'Measures-Medidas'!G14^2</f>
        <v>0</v>
      </c>
      <c r="H14" s="28">
        <f>'Measures-Medidas'!H14^2</f>
        <v>0</v>
      </c>
      <c r="I14" s="28">
        <f>'Measures-Medidas'!I14^2</f>
        <v>0</v>
      </c>
      <c r="J14" s="28">
        <f>'Measures-Medidas'!J14^2</f>
        <v>0</v>
      </c>
      <c r="K14" s="28">
        <f>'Measures-Medidas'!K14^2</f>
        <v>0</v>
      </c>
      <c r="L14" s="28">
        <f>'Measures-Medidas'!L14^2</f>
        <v>0</v>
      </c>
      <c r="M14" s="28">
        <f>'Measures-Medidas'!M14^2</f>
        <v>0</v>
      </c>
      <c r="N14" s="28">
        <f>'Measures-Medidas'!N14^2</f>
        <v>0</v>
      </c>
      <c r="O14" s="28">
        <f>'Measures-Medidas'!O14^2</f>
        <v>0</v>
      </c>
      <c r="P14" s="28">
        <f>'Measures-Medidas'!P14^2</f>
        <v>36</v>
      </c>
      <c r="Q14" s="28">
        <f>'Measures-Medidas'!Q14^2</f>
        <v>36</v>
      </c>
      <c r="R14" s="28">
        <f>'Measures-Medidas'!R14^2</f>
        <v>100</v>
      </c>
      <c r="S14" s="28">
        <f>'Measures-Medidas'!S14^2</f>
        <v>100</v>
      </c>
      <c r="T14" s="28">
        <f>'Measures-Medidas'!T14^2</f>
        <v>0</v>
      </c>
      <c r="U14" s="28">
        <f>'Measures-Medidas'!U14^2</f>
        <v>0</v>
      </c>
      <c r="V14" s="28">
        <f>'Measures-Medidas'!V14^2</f>
        <v>64</v>
      </c>
      <c r="W14" s="28">
        <f>'Measures-Medidas'!W14^2</f>
        <v>64</v>
      </c>
      <c r="X14" s="28">
        <f>'Measures-Medidas'!X14^2</f>
        <v>42.25</v>
      </c>
      <c r="Y14" s="28">
        <f>'Measures-Medidas'!Y14^2</f>
        <v>42.25</v>
      </c>
      <c r="Z14" s="28">
        <f>'Measures-Medidas'!Z14^2</f>
        <v>25</v>
      </c>
      <c r="AA14" s="28">
        <f>'Measures-Medidas'!AA14^2</f>
        <v>25</v>
      </c>
      <c r="AB14" s="28">
        <f>'Measures-Medidas'!AB14^2</f>
        <v>25</v>
      </c>
      <c r="AC14" s="28">
        <f>'Measures-Medidas'!AC14^2</f>
        <v>25</v>
      </c>
      <c r="AD14" s="28">
        <f>'Measures-Medidas'!AD14^2</f>
        <v>81</v>
      </c>
      <c r="AE14" s="28">
        <f>'Measures-Medidas'!AE14^2</f>
        <v>81</v>
      </c>
      <c r="AF14" s="28">
        <f>'Measures-Medidas'!AF14^2</f>
        <v>0</v>
      </c>
      <c r="AG14" s="28">
        <f>'Measures-Medidas'!AG14^2</f>
        <v>0</v>
      </c>
      <c r="AH14" s="28">
        <f>'Measures-Medidas'!AH14^2</f>
        <v>0</v>
      </c>
      <c r="AI14" s="28">
        <f>'Measures-Medidas'!AI14^2</f>
        <v>0</v>
      </c>
      <c r="AJ14" s="28">
        <f>'Measures-Medidas'!AJ14^2</f>
        <v>0</v>
      </c>
      <c r="AK14" s="28">
        <f>'Measures-Medidas'!AK14^2</f>
        <v>0</v>
      </c>
      <c r="AL14" s="28">
        <f>'Measures-Medidas'!AL14^2</f>
        <v>49</v>
      </c>
      <c r="AM14" s="28">
        <f>'Measures-Medidas'!AM14^2</f>
        <v>42.25</v>
      </c>
      <c r="AN14" s="28">
        <f>'Measures-Medidas'!AN14^2</f>
        <v>361</v>
      </c>
      <c r="AO14" s="28">
        <f>'Measures-Medidas'!AO14^2</f>
        <v>289</v>
      </c>
      <c r="AP14" s="28">
        <f>'Measures-Medidas'!AP14^2</f>
        <v>0</v>
      </c>
      <c r="AQ14" s="28">
        <f>'Measures-Medidas'!AQ14^2</f>
        <v>0</v>
      </c>
      <c r="AR14" s="17"/>
      <c r="AS14" s="20">
        <f t="shared" si="0"/>
        <v>1487.75</v>
      </c>
    </row>
    <row r="15" spans="2:45">
      <c r="B15" s="27">
        <f>'sqr(sum)-cuadrado(sum)'!B15</f>
        <v>6</v>
      </c>
      <c r="C15" s="17" t="str">
        <f>'sqr(sum)-cuadrado(sum)'!C15</f>
        <v>Subscapular sf</v>
      </c>
      <c r="D15" s="28">
        <f>'Measures-Medidas'!D15^2</f>
        <v>0</v>
      </c>
      <c r="E15" s="28">
        <f>'Measures-Medidas'!E15^2</f>
        <v>0</v>
      </c>
      <c r="F15" s="28">
        <f>'Measures-Medidas'!F15^2</f>
        <v>0</v>
      </c>
      <c r="G15" s="28">
        <f>'Measures-Medidas'!G15^2</f>
        <v>0</v>
      </c>
      <c r="H15" s="28">
        <f>'Measures-Medidas'!H15^2</f>
        <v>0</v>
      </c>
      <c r="I15" s="28">
        <f>'Measures-Medidas'!I15^2</f>
        <v>0</v>
      </c>
      <c r="J15" s="28">
        <f>'Measures-Medidas'!J15^2</f>
        <v>0</v>
      </c>
      <c r="K15" s="28">
        <f>'Measures-Medidas'!K15^2</f>
        <v>0</v>
      </c>
      <c r="L15" s="28">
        <f>'Measures-Medidas'!L15^2</f>
        <v>0</v>
      </c>
      <c r="M15" s="28">
        <f>'Measures-Medidas'!M15^2</f>
        <v>0</v>
      </c>
      <c r="N15" s="28">
        <f>'Measures-Medidas'!N15^2</f>
        <v>0</v>
      </c>
      <c r="O15" s="28">
        <f>'Measures-Medidas'!O15^2</f>
        <v>0</v>
      </c>
      <c r="P15" s="28">
        <f>'Measures-Medidas'!P15^2</f>
        <v>169</v>
      </c>
      <c r="Q15" s="28">
        <f>'Measures-Medidas'!Q15^2</f>
        <v>169</v>
      </c>
      <c r="R15" s="28">
        <f>'Measures-Medidas'!R15^2</f>
        <v>64</v>
      </c>
      <c r="S15" s="28">
        <f>'Measures-Medidas'!S15^2</f>
        <v>64</v>
      </c>
      <c r="T15" s="28">
        <f>'Measures-Medidas'!T15^2</f>
        <v>0</v>
      </c>
      <c r="U15" s="28">
        <f>'Measures-Medidas'!U15^2</f>
        <v>0</v>
      </c>
      <c r="V15" s="28">
        <f>'Measures-Medidas'!V15^2</f>
        <v>81</v>
      </c>
      <c r="W15" s="28">
        <f>'Measures-Medidas'!W15^2</f>
        <v>81</v>
      </c>
      <c r="X15" s="28">
        <f>'Measures-Medidas'!X15^2</f>
        <v>144</v>
      </c>
      <c r="Y15" s="28">
        <f>'Measures-Medidas'!Y15^2</f>
        <v>144</v>
      </c>
      <c r="Z15" s="28">
        <f>'Measures-Medidas'!Z15^2</f>
        <v>49</v>
      </c>
      <c r="AA15" s="28">
        <f>'Measures-Medidas'!AA15^2</f>
        <v>49</v>
      </c>
      <c r="AB15" s="28">
        <f>'Measures-Medidas'!AB15^2</f>
        <v>42.25</v>
      </c>
      <c r="AC15" s="28">
        <f>'Measures-Medidas'!AC15^2</f>
        <v>42.25</v>
      </c>
      <c r="AD15" s="28">
        <f>'Measures-Medidas'!AD15^2</f>
        <v>169</v>
      </c>
      <c r="AE15" s="28">
        <f>'Measures-Medidas'!AE15^2</f>
        <v>169</v>
      </c>
      <c r="AF15" s="28">
        <f>'Measures-Medidas'!AF15^2</f>
        <v>0</v>
      </c>
      <c r="AG15" s="28">
        <f>'Measures-Medidas'!AG15^2</f>
        <v>0</v>
      </c>
      <c r="AH15" s="28">
        <f>'Measures-Medidas'!AH15^2</f>
        <v>0</v>
      </c>
      <c r="AI15" s="28">
        <f>'Measures-Medidas'!AI15^2</f>
        <v>0</v>
      </c>
      <c r="AJ15" s="28">
        <f>'Measures-Medidas'!AJ15^2</f>
        <v>0</v>
      </c>
      <c r="AK15" s="28">
        <f>'Measures-Medidas'!AK15^2</f>
        <v>0</v>
      </c>
      <c r="AL15" s="28">
        <f>'Measures-Medidas'!AL15^2</f>
        <v>144</v>
      </c>
      <c r="AM15" s="28">
        <f>'Measures-Medidas'!AM15^2</f>
        <v>169</v>
      </c>
      <c r="AN15" s="28">
        <f>'Measures-Medidas'!AN15^2</f>
        <v>0</v>
      </c>
      <c r="AO15" s="28">
        <f>'Measures-Medidas'!AO15^2</f>
        <v>0</v>
      </c>
      <c r="AP15" s="28">
        <f>'Measures-Medidas'!AP15^2</f>
        <v>0</v>
      </c>
      <c r="AQ15" s="28">
        <f>'Measures-Medidas'!AQ15^2</f>
        <v>0</v>
      </c>
      <c r="AR15" s="17"/>
      <c r="AS15" s="20">
        <f t="shared" si="0"/>
        <v>1749.5</v>
      </c>
    </row>
    <row r="16" spans="2:45">
      <c r="B16" s="27">
        <f>'sqr(sum)-cuadrado(sum)'!B16</f>
        <v>7</v>
      </c>
      <c r="C16" s="17" t="str">
        <f>'sqr(sum)-cuadrado(sum)'!C16</f>
        <v>Biceps sf</v>
      </c>
      <c r="D16" s="28">
        <f>'Measures-Medidas'!D16^2</f>
        <v>0</v>
      </c>
      <c r="E16" s="28">
        <f>'Measures-Medidas'!E16^2</f>
        <v>0</v>
      </c>
      <c r="F16" s="28">
        <f>'Measures-Medidas'!F16^2</f>
        <v>0</v>
      </c>
      <c r="G16" s="28">
        <f>'Measures-Medidas'!G16^2</f>
        <v>0</v>
      </c>
      <c r="H16" s="28">
        <f>'Measures-Medidas'!H16^2</f>
        <v>0</v>
      </c>
      <c r="I16" s="28">
        <f>'Measures-Medidas'!I16^2</f>
        <v>0</v>
      </c>
      <c r="J16" s="28">
        <f>'Measures-Medidas'!J16^2</f>
        <v>0</v>
      </c>
      <c r="K16" s="28">
        <f>'Measures-Medidas'!K16^2</f>
        <v>0</v>
      </c>
      <c r="L16" s="28">
        <f>'Measures-Medidas'!L16^2</f>
        <v>0</v>
      </c>
      <c r="M16" s="28">
        <f>'Measures-Medidas'!M16^2</f>
        <v>0</v>
      </c>
      <c r="N16" s="28">
        <f>'Measures-Medidas'!N16^2</f>
        <v>0</v>
      </c>
      <c r="O16" s="28">
        <f>'Measures-Medidas'!O16^2</f>
        <v>0</v>
      </c>
      <c r="P16" s="28">
        <f>'Measures-Medidas'!P16^2</f>
        <v>12.25</v>
      </c>
      <c r="Q16" s="28">
        <f>'Measures-Medidas'!Q16^2</f>
        <v>12.25</v>
      </c>
      <c r="R16" s="28">
        <f>'Measures-Medidas'!R16^2</f>
        <v>9</v>
      </c>
      <c r="S16" s="28">
        <f>'Measures-Medidas'!S16^2</f>
        <v>9</v>
      </c>
      <c r="T16" s="28">
        <f>'Measures-Medidas'!T16^2</f>
        <v>0</v>
      </c>
      <c r="U16" s="28">
        <f>'Measures-Medidas'!U16^2</f>
        <v>0</v>
      </c>
      <c r="V16" s="28">
        <f>'Measures-Medidas'!V16^2</f>
        <v>9</v>
      </c>
      <c r="W16" s="28">
        <f>'Measures-Medidas'!W16^2</f>
        <v>9</v>
      </c>
      <c r="X16" s="28">
        <f>'Measures-Medidas'!X16^2</f>
        <v>9</v>
      </c>
      <c r="Y16" s="28">
        <f>'Measures-Medidas'!Y16^2</f>
        <v>9</v>
      </c>
      <c r="Z16" s="28">
        <f>'Measures-Medidas'!Z16^2</f>
        <v>2.25</v>
      </c>
      <c r="AA16" s="28">
        <f>'Measures-Medidas'!AA16^2</f>
        <v>2.25</v>
      </c>
      <c r="AB16" s="28">
        <f>'Measures-Medidas'!AB16^2</f>
        <v>1</v>
      </c>
      <c r="AC16" s="28">
        <f>'Measures-Medidas'!AC16^2</f>
        <v>1</v>
      </c>
      <c r="AD16" s="28">
        <f>'Measures-Medidas'!AD16^2</f>
        <v>16</v>
      </c>
      <c r="AE16" s="28">
        <f>'Measures-Medidas'!AE16^2</f>
        <v>16</v>
      </c>
      <c r="AF16" s="28">
        <f>'Measures-Medidas'!AF16^2</f>
        <v>0</v>
      </c>
      <c r="AG16" s="28">
        <f>'Measures-Medidas'!AG16^2</f>
        <v>0</v>
      </c>
      <c r="AH16" s="28">
        <f>'Measures-Medidas'!AH16^2</f>
        <v>0</v>
      </c>
      <c r="AI16" s="28">
        <f>'Measures-Medidas'!AI16^2</f>
        <v>0</v>
      </c>
      <c r="AJ16" s="28">
        <f>'Measures-Medidas'!AJ16^2</f>
        <v>0</v>
      </c>
      <c r="AK16" s="28">
        <f>'Measures-Medidas'!AK16^2</f>
        <v>0</v>
      </c>
      <c r="AL16" s="28">
        <f>'Measures-Medidas'!AL16^2</f>
        <v>9</v>
      </c>
      <c r="AM16" s="28">
        <f>'Measures-Medidas'!AM16^2</f>
        <v>12.25</v>
      </c>
      <c r="AN16" s="28">
        <f>'Measures-Medidas'!AN16^2</f>
        <v>0</v>
      </c>
      <c r="AO16" s="28">
        <f>'Measures-Medidas'!AO16^2</f>
        <v>0</v>
      </c>
      <c r="AP16" s="28">
        <f>'Measures-Medidas'!AP16^2</f>
        <v>0</v>
      </c>
      <c r="AQ16" s="28">
        <f>'Measures-Medidas'!AQ16^2</f>
        <v>0</v>
      </c>
      <c r="AR16" s="17"/>
      <c r="AS16" s="20">
        <f t="shared" si="0"/>
        <v>138.25</v>
      </c>
    </row>
    <row r="17" spans="2:45">
      <c r="B17" s="27">
        <f>'sqr(sum)-cuadrado(sum)'!B17</f>
        <v>8</v>
      </c>
      <c r="C17" s="17" t="str">
        <f>'sqr(sum)-cuadrado(sum)'!C17</f>
        <v>Iliac crest sf</v>
      </c>
      <c r="D17" s="28">
        <f>'Measures-Medidas'!D17^2</f>
        <v>0</v>
      </c>
      <c r="E17" s="28">
        <f>'Measures-Medidas'!E17^2</f>
        <v>0</v>
      </c>
      <c r="F17" s="28">
        <f>'Measures-Medidas'!F17^2</f>
        <v>0</v>
      </c>
      <c r="G17" s="28">
        <f>'Measures-Medidas'!G17^2</f>
        <v>0</v>
      </c>
      <c r="H17" s="28">
        <f>'Measures-Medidas'!H17^2</f>
        <v>0</v>
      </c>
      <c r="I17" s="28">
        <f>'Measures-Medidas'!I17^2</f>
        <v>0</v>
      </c>
      <c r="J17" s="28">
        <f>'Measures-Medidas'!J17^2</f>
        <v>0</v>
      </c>
      <c r="K17" s="28">
        <f>'Measures-Medidas'!K17^2</f>
        <v>0</v>
      </c>
      <c r="L17" s="28">
        <f>'Measures-Medidas'!L17^2</f>
        <v>0</v>
      </c>
      <c r="M17" s="28">
        <f>'Measures-Medidas'!M17^2</f>
        <v>0</v>
      </c>
      <c r="N17" s="28">
        <f>'Measures-Medidas'!N17^2</f>
        <v>0</v>
      </c>
      <c r="O17" s="28">
        <f>'Measures-Medidas'!O17^2</f>
        <v>0</v>
      </c>
      <c r="P17" s="28">
        <f>'Measures-Medidas'!P17^2</f>
        <v>196</v>
      </c>
      <c r="Q17" s="28">
        <f>'Measures-Medidas'!Q17^2</f>
        <v>196</v>
      </c>
      <c r="R17" s="28">
        <f>'Measures-Medidas'!R17^2</f>
        <v>196</v>
      </c>
      <c r="S17" s="28">
        <f>'Measures-Medidas'!S17^2</f>
        <v>196</v>
      </c>
      <c r="T17" s="28">
        <f>'Measures-Medidas'!T17^2</f>
        <v>0</v>
      </c>
      <c r="U17" s="28">
        <f>'Measures-Medidas'!U17^2</f>
        <v>0</v>
      </c>
      <c r="V17" s="28">
        <f>'Measures-Medidas'!V17^2</f>
        <v>625</v>
      </c>
      <c r="W17" s="28">
        <f>'Measures-Medidas'!W17^2</f>
        <v>625</v>
      </c>
      <c r="X17" s="28">
        <f>'Measures-Medidas'!X17^2</f>
        <v>484</v>
      </c>
      <c r="Y17" s="28">
        <f>'Measures-Medidas'!Y17^2</f>
        <v>484</v>
      </c>
      <c r="Z17" s="28">
        <f>'Measures-Medidas'!Z17^2</f>
        <v>100</v>
      </c>
      <c r="AA17" s="28">
        <f>'Measures-Medidas'!AA17^2</f>
        <v>100</v>
      </c>
      <c r="AB17" s="28">
        <f>'Measures-Medidas'!AB17^2</f>
        <v>30.25</v>
      </c>
      <c r="AC17" s="28">
        <f>'Measures-Medidas'!AC17^2</f>
        <v>30.25</v>
      </c>
      <c r="AD17" s="28">
        <f>'Measures-Medidas'!AD17^2</f>
        <v>529</v>
      </c>
      <c r="AE17" s="28">
        <f>'Measures-Medidas'!AE17^2</f>
        <v>529</v>
      </c>
      <c r="AF17" s="28">
        <f>'Measures-Medidas'!AF17^2</f>
        <v>0</v>
      </c>
      <c r="AG17" s="28">
        <f>'Measures-Medidas'!AG17^2</f>
        <v>0</v>
      </c>
      <c r="AH17" s="28">
        <f>'Measures-Medidas'!AH17^2</f>
        <v>0</v>
      </c>
      <c r="AI17" s="28">
        <f>'Measures-Medidas'!AI17^2</f>
        <v>0</v>
      </c>
      <c r="AJ17" s="28">
        <f>'Measures-Medidas'!AJ17^2</f>
        <v>0</v>
      </c>
      <c r="AK17" s="28">
        <f>'Measures-Medidas'!AK17^2</f>
        <v>0</v>
      </c>
      <c r="AL17" s="28">
        <f>'Measures-Medidas'!AL17^2</f>
        <v>676</v>
      </c>
      <c r="AM17" s="28">
        <f>'Measures-Medidas'!AM17^2</f>
        <v>841</v>
      </c>
      <c r="AN17" s="28">
        <f>'Measures-Medidas'!AN17^2</f>
        <v>0</v>
      </c>
      <c r="AO17" s="28">
        <f>'Measures-Medidas'!AO17^2</f>
        <v>0</v>
      </c>
      <c r="AP17" s="28">
        <f>'Measures-Medidas'!AP17^2</f>
        <v>729</v>
      </c>
      <c r="AQ17" s="28">
        <f>'Measures-Medidas'!AQ17^2</f>
        <v>676</v>
      </c>
      <c r="AR17" s="17"/>
      <c r="AS17" s="20">
        <f t="shared" si="0"/>
        <v>7242.5</v>
      </c>
    </row>
    <row r="18" spans="2:45">
      <c r="B18" s="27">
        <f>'sqr(sum)-cuadrado(sum)'!B18</f>
        <v>9</v>
      </c>
      <c r="C18" s="17" t="str">
        <f>'sqr(sum)-cuadrado(sum)'!C18</f>
        <v>Supraspinale sf</v>
      </c>
      <c r="D18" s="28">
        <f>'Measures-Medidas'!D18^2</f>
        <v>0</v>
      </c>
      <c r="E18" s="28">
        <f>'Measures-Medidas'!E18^2</f>
        <v>0</v>
      </c>
      <c r="F18" s="28">
        <f>'Measures-Medidas'!F18^2</f>
        <v>0</v>
      </c>
      <c r="G18" s="28">
        <f>'Measures-Medidas'!G18^2</f>
        <v>0</v>
      </c>
      <c r="H18" s="28">
        <f>'Measures-Medidas'!H18^2</f>
        <v>0</v>
      </c>
      <c r="I18" s="28">
        <f>'Measures-Medidas'!I18^2</f>
        <v>0</v>
      </c>
      <c r="J18" s="28">
        <f>'Measures-Medidas'!J18^2</f>
        <v>0</v>
      </c>
      <c r="K18" s="28">
        <f>'Measures-Medidas'!K18^2</f>
        <v>0</v>
      </c>
      <c r="L18" s="28">
        <f>'Measures-Medidas'!L18^2</f>
        <v>0</v>
      </c>
      <c r="M18" s="28">
        <f>'Measures-Medidas'!M18^2</f>
        <v>0</v>
      </c>
      <c r="N18" s="28">
        <f>'Measures-Medidas'!N18^2</f>
        <v>0</v>
      </c>
      <c r="O18" s="28">
        <f>'Measures-Medidas'!O18^2</f>
        <v>0</v>
      </c>
      <c r="P18" s="28">
        <f>'Measures-Medidas'!P18^2</f>
        <v>25</v>
      </c>
      <c r="Q18" s="28">
        <f>'Measures-Medidas'!Q18^2</f>
        <v>25</v>
      </c>
      <c r="R18" s="28">
        <f>'Measures-Medidas'!R18^2</f>
        <v>64</v>
      </c>
      <c r="S18" s="28">
        <f>'Measures-Medidas'!S18^2</f>
        <v>64</v>
      </c>
      <c r="T18" s="28">
        <f>'Measures-Medidas'!T18^2</f>
        <v>0</v>
      </c>
      <c r="U18" s="28">
        <f>'Measures-Medidas'!U18^2</f>
        <v>0</v>
      </c>
      <c r="V18" s="28">
        <f>'Measures-Medidas'!V18^2</f>
        <v>36</v>
      </c>
      <c r="W18" s="28">
        <f>'Measures-Medidas'!W18^2</f>
        <v>36</v>
      </c>
      <c r="X18" s="28">
        <f>'Measures-Medidas'!X18^2</f>
        <v>100</v>
      </c>
      <c r="Y18" s="28">
        <f>'Measures-Medidas'!Y18^2</f>
        <v>100</v>
      </c>
      <c r="Z18" s="28">
        <f>'Measures-Medidas'!Z18^2</f>
        <v>25</v>
      </c>
      <c r="AA18" s="28">
        <f>'Measures-Medidas'!AA18^2</f>
        <v>25</v>
      </c>
      <c r="AB18" s="28">
        <f>'Measures-Medidas'!AB18^2</f>
        <v>20.25</v>
      </c>
      <c r="AC18" s="28">
        <f>'Measures-Medidas'!AC18^2</f>
        <v>20.25</v>
      </c>
      <c r="AD18" s="28">
        <f>'Measures-Medidas'!AD18^2</f>
        <v>121</v>
      </c>
      <c r="AE18" s="28">
        <f>'Measures-Medidas'!AE18^2</f>
        <v>121</v>
      </c>
      <c r="AF18" s="28">
        <f>'Measures-Medidas'!AF18^2</f>
        <v>0</v>
      </c>
      <c r="AG18" s="28">
        <f>'Measures-Medidas'!AG18^2</f>
        <v>0</v>
      </c>
      <c r="AH18" s="28">
        <f>'Measures-Medidas'!AH18^2</f>
        <v>0</v>
      </c>
      <c r="AI18" s="28">
        <f>'Measures-Medidas'!AI18^2</f>
        <v>0</v>
      </c>
      <c r="AJ18" s="28">
        <f>'Measures-Medidas'!AJ18^2</f>
        <v>0</v>
      </c>
      <c r="AK18" s="28">
        <f>'Measures-Medidas'!AK18^2</f>
        <v>0</v>
      </c>
      <c r="AL18" s="28">
        <f>'Measures-Medidas'!AL18^2</f>
        <v>100</v>
      </c>
      <c r="AM18" s="28">
        <f>'Measures-Medidas'!AM18^2</f>
        <v>110.25</v>
      </c>
      <c r="AN18" s="28">
        <f>'Measures-Medidas'!AN18^2</f>
        <v>0</v>
      </c>
      <c r="AO18" s="28">
        <f>'Measures-Medidas'!AO18^2</f>
        <v>0</v>
      </c>
      <c r="AP18" s="28">
        <f>'Measures-Medidas'!AP18^2</f>
        <v>90.25</v>
      </c>
      <c r="AQ18" s="28">
        <f>'Measures-Medidas'!AQ18^2</f>
        <v>90.25</v>
      </c>
      <c r="AR18" s="17"/>
      <c r="AS18" s="20">
        <f t="shared" si="0"/>
        <v>1173.25</v>
      </c>
    </row>
    <row r="19" spans="2:45">
      <c r="B19" s="27">
        <f>'sqr(sum)-cuadrado(sum)'!B19</f>
        <v>10</v>
      </c>
      <c r="C19" s="17" t="str">
        <f>'sqr(sum)-cuadrado(sum)'!C19</f>
        <v>Abdominal sf</v>
      </c>
      <c r="D19" s="28">
        <f>'Measures-Medidas'!D19^2</f>
        <v>0</v>
      </c>
      <c r="E19" s="28">
        <f>'Measures-Medidas'!E19^2</f>
        <v>0</v>
      </c>
      <c r="F19" s="28">
        <f>'Measures-Medidas'!F19^2</f>
        <v>0</v>
      </c>
      <c r="G19" s="28">
        <f>'Measures-Medidas'!G19^2</f>
        <v>0</v>
      </c>
      <c r="H19" s="28">
        <f>'Measures-Medidas'!H19^2</f>
        <v>0</v>
      </c>
      <c r="I19" s="28">
        <f>'Measures-Medidas'!I19^2</f>
        <v>0</v>
      </c>
      <c r="J19" s="28">
        <f>'Measures-Medidas'!J19^2</f>
        <v>0</v>
      </c>
      <c r="K19" s="28">
        <f>'Measures-Medidas'!K19^2</f>
        <v>0</v>
      </c>
      <c r="L19" s="28">
        <f>'Measures-Medidas'!L19^2</f>
        <v>0</v>
      </c>
      <c r="M19" s="28">
        <f>'Measures-Medidas'!M19^2</f>
        <v>0</v>
      </c>
      <c r="N19" s="28">
        <f>'Measures-Medidas'!N19^2</f>
        <v>0</v>
      </c>
      <c r="O19" s="28">
        <f>'Measures-Medidas'!O19^2</f>
        <v>0</v>
      </c>
      <c r="P19" s="28">
        <f>'Measures-Medidas'!P19^2</f>
        <v>56.25</v>
      </c>
      <c r="Q19" s="28">
        <f>'Measures-Medidas'!Q19^2</f>
        <v>56.25</v>
      </c>
      <c r="R19" s="28">
        <f>'Measures-Medidas'!R19^2</f>
        <v>196</v>
      </c>
      <c r="S19" s="28">
        <f>'Measures-Medidas'!S19^2</f>
        <v>196</v>
      </c>
      <c r="T19" s="28">
        <f>'Measures-Medidas'!T19^2</f>
        <v>0</v>
      </c>
      <c r="U19" s="28">
        <f>'Measures-Medidas'!U19^2</f>
        <v>0</v>
      </c>
      <c r="V19" s="28">
        <f>'Measures-Medidas'!V19^2</f>
        <v>169</v>
      </c>
      <c r="W19" s="28">
        <f>'Measures-Medidas'!W19^2</f>
        <v>169</v>
      </c>
      <c r="X19" s="28">
        <f>'Measures-Medidas'!X19^2</f>
        <v>240.25</v>
      </c>
      <c r="Y19" s="28">
        <f>'Measures-Medidas'!Y19^2</f>
        <v>240.25</v>
      </c>
      <c r="Z19" s="28">
        <f>'Measures-Medidas'!Z19^2</f>
        <v>49</v>
      </c>
      <c r="AA19" s="28">
        <f>'Measures-Medidas'!AA19^2</f>
        <v>49</v>
      </c>
      <c r="AB19" s="28">
        <f>'Measures-Medidas'!AB19^2</f>
        <v>20.25</v>
      </c>
      <c r="AC19" s="28">
        <f>'Measures-Medidas'!AC19^2</f>
        <v>20.25</v>
      </c>
      <c r="AD19" s="28">
        <f>'Measures-Medidas'!AD19^2</f>
        <v>576</v>
      </c>
      <c r="AE19" s="28">
        <f>'Measures-Medidas'!AE19^2</f>
        <v>576</v>
      </c>
      <c r="AF19" s="28">
        <f>'Measures-Medidas'!AF19^2</f>
        <v>0</v>
      </c>
      <c r="AG19" s="28">
        <f>'Measures-Medidas'!AG19^2</f>
        <v>0</v>
      </c>
      <c r="AH19" s="28">
        <f>'Measures-Medidas'!AH19^2</f>
        <v>0</v>
      </c>
      <c r="AI19" s="28">
        <f>'Measures-Medidas'!AI19^2</f>
        <v>0</v>
      </c>
      <c r="AJ19" s="28">
        <f>'Measures-Medidas'!AJ19^2</f>
        <v>0</v>
      </c>
      <c r="AK19" s="28">
        <f>'Measures-Medidas'!AK19^2</f>
        <v>0</v>
      </c>
      <c r="AL19" s="28">
        <f>'Measures-Medidas'!AL19^2</f>
        <v>784</v>
      </c>
      <c r="AM19" s="28">
        <f>'Measures-Medidas'!AM19^2</f>
        <v>900</v>
      </c>
      <c r="AN19" s="28">
        <f>'Measures-Medidas'!AN19^2</f>
        <v>0</v>
      </c>
      <c r="AO19" s="28">
        <f>'Measures-Medidas'!AO19^2</f>
        <v>0</v>
      </c>
      <c r="AP19" s="28">
        <f>'Measures-Medidas'!AP19^2</f>
        <v>0</v>
      </c>
      <c r="AQ19" s="28">
        <f>'Measures-Medidas'!AQ19^2</f>
        <v>0</v>
      </c>
      <c r="AR19" s="17"/>
      <c r="AS19" s="20">
        <f t="shared" si="0"/>
        <v>4297.5</v>
      </c>
    </row>
    <row r="20" spans="2:45">
      <c r="B20" s="27">
        <f>'sqr(sum)-cuadrado(sum)'!B20</f>
        <v>11</v>
      </c>
      <c r="C20" s="17" t="str">
        <f>'sqr(sum)-cuadrado(sum)'!C20</f>
        <v>Thigh sf</v>
      </c>
      <c r="D20" s="28">
        <f>'Measures-Medidas'!D20^2</f>
        <v>0</v>
      </c>
      <c r="E20" s="28">
        <f>'Measures-Medidas'!E20^2</f>
        <v>0</v>
      </c>
      <c r="F20" s="28">
        <f>'Measures-Medidas'!F20^2</f>
        <v>0</v>
      </c>
      <c r="G20" s="28">
        <f>'Measures-Medidas'!G20^2</f>
        <v>0</v>
      </c>
      <c r="H20" s="28">
        <f>'Measures-Medidas'!H20^2</f>
        <v>0</v>
      </c>
      <c r="I20" s="28">
        <f>'Measures-Medidas'!I20^2</f>
        <v>0</v>
      </c>
      <c r="J20" s="28">
        <f>'Measures-Medidas'!J20^2</f>
        <v>0</v>
      </c>
      <c r="K20" s="28">
        <f>'Measures-Medidas'!K20^2</f>
        <v>0</v>
      </c>
      <c r="L20" s="28">
        <f>'Measures-Medidas'!L20^2</f>
        <v>0</v>
      </c>
      <c r="M20" s="28">
        <f>'Measures-Medidas'!M20^2</f>
        <v>0</v>
      </c>
      <c r="N20" s="28">
        <f>'Measures-Medidas'!N20^2</f>
        <v>0</v>
      </c>
      <c r="O20" s="28">
        <f>'Measures-Medidas'!O20^2</f>
        <v>0</v>
      </c>
      <c r="P20" s="28">
        <f>'Measures-Medidas'!P20^2</f>
        <v>81</v>
      </c>
      <c r="Q20" s="28">
        <f>'Measures-Medidas'!Q20^2</f>
        <v>81</v>
      </c>
      <c r="R20" s="28">
        <f>'Measures-Medidas'!R20^2</f>
        <v>144</v>
      </c>
      <c r="S20" s="28">
        <f>'Measures-Medidas'!S20^2</f>
        <v>144</v>
      </c>
      <c r="T20" s="28">
        <f>'Measures-Medidas'!T20^2</f>
        <v>0</v>
      </c>
      <c r="U20" s="28">
        <f>'Measures-Medidas'!U20^2</f>
        <v>0</v>
      </c>
      <c r="V20" s="28">
        <f>'Measures-Medidas'!V20^2</f>
        <v>169</v>
      </c>
      <c r="W20" s="28">
        <f>'Measures-Medidas'!W20^2</f>
        <v>169</v>
      </c>
      <c r="X20" s="28">
        <f>'Measures-Medidas'!X20^2</f>
        <v>182.25</v>
      </c>
      <c r="Y20" s="28">
        <f>'Measures-Medidas'!Y20^2</f>
        <v>182.25</v>
      </c>
      <c r="Z20" s="28">
        <f>'Measures-Medidas'!Z20^2</f>
        <v>100</v>
      </c>
      <c r="AA20" s="28">
        <f>'Measures-Medidas'!AA20^2</f>
        <v>100</v>
      </c>
      <c r="AB20" s="28">
        <f>'Measures-Medidas'!AB20^2</f>
        <v>64</v>
      </c>
      <c r="AC20" s="28">
        <f>'Measures-Medidas'!AC20^2</f>
        <v>64</v>
      </c>
      <c r="AD20" s="28">
        <f>'Measures-Medidas'!AD20^2</f>
        <v>121</v>
      </c>
      <c r="AE20" s="28">
        <f>'Measures-Medidas'!AE20^2</f>
        <v>121</v>
      </c>
      <c r="AF20" s="28">
        <f>'Measures-Medidas'!AF20^2</f>
        <v>0</v>
      </c>
      <c r="AG20" s="28">
        <f>'Measures-Medidas'!AG20^2</f>
        <v>0</v>
      </c>
      <c r="AH20" s="28">
        <f>'Measures-Medidas'!AH20^2</f>
        <v>0</v>
      </c>
      <c r="AI20" s="28">
        <f>'Measures-Medidas'!AI20^2</f>
        <v>0</v>
      </c>
      <c r="AJ20" s="28">
        <f>'Measures-Medidas'!AJ20^2</f>
        <v>0</v>
      </c>
      <c r="AK20" s="28">
        <f>'Measures-Medidas'!AK20^2</f>
        <v>0</v>
      </c>
      <c r="AL20" s="28">
        <f>'Measures-Medidas'!AL20^2</f>
        <v>100</v>
      </c>
      <c r="AM20" s="28">
        <f>'Measures-Medidas'!AM20^2</f>
        <v>169</v>
      </c>
      <c r="AN20" s="28">
        <f>'Measures-Medidas'!AN20^2</f>
        <v>0</v>
      </c>
      <c r="AO20" s="28">
        <f>'Measures-Medidas'!AO20^2</f>
        <v>0</v>
      </c>
      <c r="AP20" s="28">
        <f>'Measures-Medidas'!AP20^2</f>
        <v>0</v>
      </c>
      <c r="AQ20" s="28">
        <f>'Measures-Medidas'!AQ20^2</f>
        <v>0</v>
      </c>
      <c r="AR20" s="17"/>
      <c r="AS20" s="20">
        <f t="shared" si="0"/>
        <v>1991.5</v>
      </c>
    </row>
    <row r="21" spans="2:45">
      <c r="B21" s="27">
        <f>'sqr(sum)-cuadrado(sum)'!B21</f>
        <v>12</v>
      </c>
      <c r="C21" s="17" t="str">
        <f>'sqr(sum)-cuadrado(sum)'!C21</f>
        <v>Calf sf</v>
      </c>
      <c r="D21" s="28">
        <f>'Measures-Medidas'!D21^2</f>
        <v>0</v>
      </c>
      <c r="E21" s="28">
        <f>'Measures-Medidas'!E21^2</f>
        <v>0</v>
      </c>
      <c r="F21" s="28">
        <f>'Measures-Medidas'!F21^2</f>
        <v>0</v>
      </c>
      <c r="G21" s="28">
        <f>'Measures-Medidas'!G21^2</f>
        <v>0</v>
      </c>
      <c r="H21" s="28">
        <f>'Measures-Medidas'!H21^2</f>
        <v>0</v>
      </c>
      <c r="I21" s="28">
        <f>'Measures-Medidas'!I21^2</f>
        <v>0</v>
      </c>
      <c r="J21" s="28">
        <f>'Measures-Medidas'!J21^2</f>
        <v>0</v>
      </c>
      <c r="K21" s="28">
        <f>'Measures-Medidas'!K21^2</f>
        <v>0</v>
      </c>
      <c r="L21" s="28">
        <f>'Measures-Medidas'!L21^2</f>
        <v>0</v>
      </c>
      <c r="M21" s="28">
        <f>'Measures-Medidas'!M21^2</f>
        <v>0</v>
      </c>
      <c r="N21" s="28">
        <f>'Measures-Medidas'!N21^2</f>
        <v>0</v>
      </c>
      <c r="O21" s="28">
        <f>'Measures-Medidas'!O21^2</f>
        <v>0</v>
      </c>
      <c r="P21" s="28">
        <f>'Measures-Medidas'!P21^2</f>
        <v>30.25</v>
      </c>
      <c r="Q21" s="28">
        <f>'Measures-Medidas'!Q21^2</f>
        <v>30.25</v>
      </c>
      <c r="R21" s="28">
        <f>'Measures-Medidas'!R21^2</f>
        <v>30.25</v>
      </c>
      <c r="S21" s="28">
        <f>'Measures-Medidas'!S21^2</f>
        <v>30.25</v>
      </c>
      <c r="T21" s="28">
        <f>'Measures-Medidas'!T21^2</f>
        <v>0</v>
      </c>
      <c r="U21" s="28">
        <f>'Measures-Medidas'!U21^2</f>
        <v>0</v>
      </c>
      <c r="V21" s="28">
        <f>'Measures-Medidas'!V21^2</f>
        <v>42.25</v>
      </c>
      <c r="W21" s="28">
        <f>'Measures-Medidas'!W21^2</f>
        <v>42.25</v>
      </c>
      <c r="X21" s="28">
        <f>'Measures-Medidas'!X21^2</f>
        <v>36</v>
      </c>
      <c r="Y21" s="28">
        <f>'Measures-Medidas'!Y21^2</f>
        <v>36</v>
      </c>
      <c r="Z21" s="28">
        <f>'Measures-Medidas'!Z21^2</f>
        <v>49</v>
      </c>
      <c r="AA21" s="28">
        <f>'Measures-Medidas'!AA21^2</f>
        <v>49</v>
      </c>
      <c r="AB21" s="28">
        <f>'Measures-Medidas'!AB21^2</f>
        <v>30.25</v>
      </c>
      <c r="AC21" s="28">
        <f>'Measures-Medidas'!AC21^2</f>
        <v>30.25</v>
      </c>
      <c r="AD21" s="28">
        <f>'Measures-Medidas'!AD21^2</f>
        <v>25</v>
      </c>
      <c r="AE21" s="28">
        <f>'Measures-Medidas'!AE21^2</f>
        <v>25</v>
      </c>
      <c r="AF21" s="28">
        <f>'Measures-Medidas'!AF21^2</f>
        <v>0</v>
      </c>
      <c r="AG21" s="28">
        <f>'Measures-Medidas'!AG21^2</f>
        <v>0</v>
      </c>
      <c r="AH21" s="28">
        <f>'Measures-Medidas'!AH21^2</f>
        <v>0</v>
      </c>
      <c r="AI21" s="28">
        <f>'Measures-Medidas'!AI21^2</f>
        <v>0</v>
      </c>
      <c r="AJ21" s="28">
        <f>'Measures-Medidas'!AJ21^2</f>
        <v>0</v>
      </c>
      <c r="AK21" s="28">
        <f>'Measures-Medidas'!AK21^2</f>
        <v>0</v>
      </c>
      <c r="AL21" s="28">
        <f>'Measures-Medidas'!AL21^2</f>
        <v>25</v>
      </c>
      <c r="AM21" s="28">
        <f>'Measures-Medidas'!AM21^2</f>
        <v>49</v>
      </c>
      <c r="AN21" s="28">
        <f>'Measures-Medidas'!AN21^2</f>
        <v>0</v>
      </c>
      <c r="AO21" s="28">
        <f>'Measures-Medidas'!AO21^2</f>
        <v>0</v>
      </c>
      <c r="AP21" s="28">
        <f>'Measures-Medidas'!AP21^2</f>
        <v>0</v>
      </c>
      <c r="AQ21" s="28">
        <f>'Measures-Medidas'!AQ21^2</f>
        <v>0</v>
      </c>
      <c r="AR21" s="17"/>
      <c r="AS21" s="20">
        <f t="shared" si="0"/>
        <v>560</v>
      </c>
    </row>
    <row r="22" spans="2:45">
      <c r="B22" s="27">
        <f>'sqr(sum)-cuadrado(sum)'!B22</f>
        <v>13</v>
      </c>
      <c r="C22" s="17" t="str">
        <f>'sqr(sum)-cuadrado(sum)'!C22</f>
        <v>Arm girth relaxed</v>
      </c>
      <c r="D22" s="28">
        <f>'Measures-Medidas'!D22^2</f>
        <v>0</v>
      </c>
      <c r="E22" s="28">
        <f>'Measures-Medidas'!E22^2</f>
        <v>0</v>
      </c>
      <c r="F22" s="28">
        <f>'Measures-Medidas'!F22^2</f>
        <v>0</v>
      </c>
      <c r="G22" s="28">
        <f>'Measures-Medidas'!G22^2</f>
        <v>0</v>
      </c>
      <c r="H22" s="28">
        <f>'Measures-Medidas'!H22^2</f>
        <v>0</v>
      </c>
      <c r="I22" s="28">
        <f>'Measures-Medidas'!I22^2</f>
        <v>0</v>
      </c>
      <c r="J22" s="28">
        <f>'Measures-Medidas'!J22^2</f>
        <v>0</v>
      </c>
      <c r="K22" s="28">
        <f>'Measures-Medidas'!K22^2</f>
        <v>0</v>
      </c>
      <c r="L22" s="28">
        <f>'Measures-Medidas'!L22^2</f>
        <v>0</v>
      </c>
      <c r="M22" s="28">
        <f>'Measures-Medidas'!M22^2</f>
        <v>0</v>
      </c>
      <c r="N22" s="28">
        <f>'Measures-Medidas'!N22^2</f>
        <v>0</v>
      </c>
      <c r="O22" s="28">
        <f>'Measures-Medidas'!O22^2</f>
        <v>0</v>
      </c>
      <c r="P22" s="28">
        <f>'Measures-Medidas'!P22^2</f>
        <v>1211.0399999999997</v>
      </c>
      <c r="Q22" s="28">
        <f>'Measures-Medidas'!Q22^2</f>
        <v>1211.0399999999997</v>
      </c>
      <c r="R22" s="28">
        <f>'Measures-Medidas'!R22^2</f>
        <v>625</v>
      </c>
      <c r="S22" s="28">
        <f>'Measures-Medidas'!S22^2</f>
        <v>625</v>
      </c>
      <c r="T22" s="28">
        <f>'Measures-Medidas'!T22^2</f>
        <v>0</v>
      </c>
      <c r="U22" s="28">
        <f>'Measures-Medidas'!U22^2</f>
        <v>0</v>
      </c>
      <c r="V22" s="28">
        <f>'Measures-Medidas'!V22^2</f>
        <v>1190.25</v>
      </c>
      <c r="W22" s="28">
        <f>'Measures-Medidas'!W22^2</f>
        <v>1183.3599999999999</v>
      </c>
      <c r="X22" s="28">
        <f>'Measures-Medidas'!X22^2</f>
        <v>1332.25</v>
      </c>
      <c r="Y22" s="28">
        <f>'Measures-Medidas'!Y22^2</f>
        <v>1332.25</v>
      </c>
      <c r="Z22" s="28">
        <f>'Measures-Medidas'!Z22^2</f>
        <v>930.25</v>
      </c>
      <c r="AA22" s="28">
        <f>'Measures-Medidas'!AA22^2</f>
        <v>930.25</v>
      </c>
      <c r="AB22" s="28">
        <f>'Measures-Medidas'!AB22^2</f>
        <v>1156</v>
      </c>
      <c r="AC22" s="28">
        <f>'Measures-Medidas'!AC22^2</f>
        <v>1156</v>
      </c>
      <c r="AD22" s="28">
        <f>'Measures-Medidas'!AD22^2</f>
        <v>1122.25</v>
      </c>
      <c r="AE22" s="28">
        <f>'Measures-Medidas'!AE22^2</f>
        <v>1122.25</v>
      </c>
      <c r="AF22" s="28">
        <f>'Measures-Medidas'!AF22^2</f>
        <v>0</v>
      </c>
      <c r="AG22" s="28">
        <f>'Measures-Medidas'!AG22^2</f>
        <v>0</v>
      </c>
      <c r="AH22" s="28">
        <f>'Measures-Medidas'!AH22^2</f>
        <v>0</v>
      </c>
      <c r="AI22" s="28">
        <f>'Measures-Medidas'!AI22^2</f>
        <v>0</v>
      </c>
      <c r="AJ22" s="28">
        <f>'Measures-Medidas'!AJ22^2</f>
        <v>0</v>
      </c>
      <c r="AK22" s="28">
        <f>'Measures-Medidas'!AK22^2</f>
        <v>0</v>
      </c>
      <c r="AL22" s="28">
        <f>'Measures-Medidas'!AL22^2</f>
        <v>1296</v>
      </c>
      <c r="AM22" s="28">
        <f>'Measures-Medidas'!AM22^2</f>
        <v>1332.25</v>
      </c>
      <c r="AN22" s="28">
        <f>'Measures-Medidas'!AN22^2</f>
        <v>0</v>
      </c>
      <c r="AO22" s="28">
        <f>'Measures-Medidas'!AO22^2</f>
        <v>0</v>
      </c>
      <c r="AP22" s="28">
        <f>'Measures-Medidas'!AP22^2</f>
        <v>0</v>
      </c>
      <c r="AQ22" s="28">
        <f>'Measures-Medidas'!AQ22^2</f>
        <v>0</v>
      </c>
      <c r="AR22" s="17"/>
      <c r="AS22" s="20">
        <f t="shared" si="0"/>
        <v>17755.439999999999</v>
      </c>
    </row>
    <row r="23" spans="2:45">
      <c r="B23" s="27">
        <f>'sqr(sum)-cuadrado(sum)'!B23</f>
        <v>14</v>
      </c>
      <c r="C23" s="17" t="str">
        <f>'sqr(sum)-cuadrado(sum)'!C23</f>
        <v>Arm girth flexed and tensed</v>
      </c>
      <c r="D23" s="28">
        <f>'Measures-Medidas'!D23^2</f>
        <v>0</v>
      </c>
      <c r="E23" s="28">
        <f>'Measures-Medidas'!E23^2</f>
        <v>0</v>
      </c>
      <c r="F23" s="28">
        <f>'Measures-Medidas'!F23^2</f>
        <v>0</v>
      </c>
      <c r="G23" s="28">
        <f>'Measures-Medidas'!G23^2</f>
        <v>0</v>
      </c>
      <c r="H23" s="28">
        <f>'Measures-Medidas'!H23^2</f>
        <v>0</v>
      </c>
      <c r="I23" s="28">
        <f>'Measures-Medidas'!I23^2</f>
        <v>0</v>
      </c>
      <c r="J23" s="28">
        <f>'Measures-Medidas'!J23^2</f>
        <v>0</v>
      </c>
      <c r="K23" s="28">
        <f>'Measures-Medidas'!K23^2</f>
        <v>0</v>
      </c>
      <c r="L23" s="28">
        <f>'Measures-Medidas'!L23^2</f>
        <v>0</v>
      </c>
      <c r="M23" s="28">
        <f>'Measures-Medidas'!M23^2</f>
        <v>0</v>
      </c>
      <c r="N23" s="28">
        <f>'Measures-Medidas'!N23^2</f>
        <v>0</v>
      </c>
      <c r="O23" s="28">
        <f>'Measures-Medidas'!O23^2</f>
        <v>0</v>
      </c>
      <c r="P23" s="28">
        <f>'Measures-Medidas'!P23^2</f>
        <v>1466.8899999999999</v>
      </c>
      <c r="Q23" s="28">
        <f>'Measures-Medidas'!Q23^2</f>
        <v>1466.8899999999999</v>
      </c>
      <c r="R23" s="28">
        <f>'Measures-Medidas'!R23^2</f>
        <v>686.43999999999994</v>
      </c>
      <c r="S23" s="28">
        <f>'Measures-Medidas'!S23^2</f>
        <v>686.43999999999994</v>
      </c>
      <c r="T23" s="28">
        <f>'Measures-Medidas'!T23^2</f>
        <v>0</v>
      </c>
      <c r="U23" s="28">
        <f>'Measures-Medidas'!U23^2</f>
        <v>0</v>
      </c>
      <c r="V23" s="28">
        <f>'Measures-Medidas'!V23^2</f>
        <v>1376.41</v>
      </c>
      <c r="W23" s="28">
        <f>'Measures-Medidas'!W23^2</f>
        <v>1383.8400000000001</v>
      </c>
      <c r="X23" s="28">
        <f>'Measures-Medidas'!X23^2</f>
        <v>1580.0625</v>
      </c>
      <c r="Y23" s="28">
        <f>'Measures-Medidas'!Y23^2</f>
        <v>1584.0399999999997</v>
      </c>
      <c r="Z23" s="28">
        <f>'Measures-Medidas'!Z23^2</f>
        <v>1089</v>
      </c>
      <c r="AA23" s="28">
        <f>'Measures-Medidas'!AA23^2</f>
        <v>1089</v>
      </c>
      <c r="AB23" s="28">
        <f>'Measures-Medidas'!AB23^2</f>
        <v>1521</v>
      </c>
      <c r="AC23" s="28">
        <f>'Measures-Medidas'!AC23^2</f>
        <v>1521</v>
      </c>
      <c r="AD23" s="28">
        <f>'Measures-Medidas'!AD23^2</f>
        <v>1406.25</v>
      </c>
      <c r="AE23" s="28">
        <f>'Measures-Medidas'!AE23^2</f>
        <v>1406.25</v>
      </c>
      <c r="AF23" s="28">
        <f>'Measures-Medidas'!AF23^2</f>
        <v>0</v>
      </c>
      <c r="AG23" s="28">
        <f>'Measures-Medidas'!AG23^2</f>
        <v>0</v>
      </c>
      <c r="AH23" s="28">
        <f>'Measures-Medidas'!AH23^2</f>
        <v>0</v>
      </c>
      <c r="AI23" s="28">
        <f>'Measures-Medidas'!AI23^2</f>
        <v>0</v>
      </c>
      <c r="AJ23" s="28">
        <f>'Measures-Medidas'!AJ23^2</f>
        <v>0</v>
      </c>
      <c r="AK23" s="28">
        <f>'Measures-Medidas'!AK23^2</f>
        <v>0</v>
      </c>
      <c r="AL23" s="28">
        <f>'Measures-Medidas'!AL23^2</f>
        <v>1521</v>
      </c>
      <c r="AM23" s="28">
        <f>'Measures-Medidas'!AM23^2</f>
        <v>1521</v>
      </c>
      <c r="AN23" s="28">
        <f>'Measures-Medidas'!AN23^2</f>
        <v>0</v>
      </c>
      <c r="AO23" s="28">
        <f>'Measures-Medidas'!AO23^2</f>
        <v>0</v>
      </c>
      <c r="AP23" s="28">
        <f>'Measures-Medidas'!AP23^2</f>
        <v>0</v>
      </c>
      <c r="AQ23" s="28">
        <f>'Measures-Medidas'!AQ23^2</f>
        <v>0</v>
      </c>
      <c r="AR23" s="17"/>
      <c r="AS23" s="20">
        <f t="shared" si="0"/>
        <v>21305.512499999997</v>
      </c>
    </row>
    <row r="24" spans="2:45">
      <c r="B24" s="27">
        <f>'sqr(sum)-cuadrado(sum)'!B24</f>
        <v>15</v>
      </c>
      <c r="C24" s="17" t="str">
        <f>'sqr(sum)-cuadrado(sum)'!C24</f>
        <v>Waist girth</v>
      </c>
      <c r="D24" s="28">
        <f>'Measures-Medidas'!D24^2</f>
        <v>0</v>
      </c>
      <c r="E24" s="28">
        <f>'Measures-Medidas'!E24^2</f>
        <v>0</v>
      </c>
      <c r="F24" s="28">
        <f>'Measures-Medidas'!F24^2</f>
        <v>0</v>
      </c>
      <c r="G24" s="28">
        <f>'Measures-Medidas'!G24^2</f>
        <v>0</v>
      </c>
      <c r="H24" s="28">
        <f>'Measures-Medidas'!H24^2</f>
        <v>0</v>
      </c>
      <c r="I24" s="28">
        <f>'Measures-Medidas'!I24^2</f>
        <v>0</v>
      </c>
      <c r="J24" s="28">
        <f>'Measures-Medidas'!J24^2</f>
        <v>0</v>
      </c>
      <c r="K24" s="28">
        <f>'Measures-Medidas'!K24^2</f>
        <v>0</v>
      </c>
      <c r="L24" s="28">
        <f>'Measures-Medidas'!L24^2</f>
        <v>0</v>
      </c>
      <c r="M24" s="28">
        <f>'Measures-Medidas'!M24^2</f>
        <v>0</v>
      </c>
      <c r="N24" s="28">
        <f>'Measures-Medidas'!N24^2</f>
        <v>0</v>
      </c>
      <c r="O24" s="28">
        <f>'Measures-Medidas'!O24^2</f>
        <v>0</v>
      </c>
      <c r="P24" s="28">
        <f>'Measures-Medidas'!P24^2</f>
        <v>6006.25</v>
      </c>
      <c r="Q24" s="28">
        <f>'Measures-Medidas'!Q24^2</f>
        <v>6006.25</v>
      </c>
      <c r="R24" s="28">
        <f>'Measures-Medidas'!R24^2</f>
        <v>4160.25</v>
      </c>
      <c r="S24" s="28">
        <f>'Measures-Medidas'!S24^2</f>
        <v>4160.25</v>
      </c>
      <c r="T24" s="28">
        <f>'Measures-Medidas'!T24^2</f>
        <v>0</v>
      </c>
      <c r="U24" s="28">
        <f>'Measures-Medidas'!U24^2</f>
        <v>0</v>
      </c>
      <c r="V24" s="28">
        <f>'Measures-Medidas'!V24^2</f>
        <v>5776</v>
      </c>
      <c r="W24" s="28">
        <f>'Measures-Medidas'!W24^2</f>
        <v>5776</v>
      </c>
      <c r="X24" s="28">
        <f>'Measures-Medidas'!X24^2</f>
        <v>6480.25</v>
      </c>
      <c r="Y24" s="28">
        <f>'Measures-Medidas'!Y24^2</f>
        <v>6480.25</v>
      </c>
      <c r="Z24" s="28">
        <f>'Measures-Medidas'!Z24^2</f>
        <v>6084</v>
      </c>
      <c r="AA24" s="28">
        <f>'Measures-Medidas'!AA24^2</f>
        <v>6084</v>
      </c>
      <c r="AB24" s="28">
        <f>'Measures-Medidas'!AB24^2</f>
        <v>6193.6900000000005</v>
      </c>
      <c r="AC24" s="28">
        <f>'Measures-Medidas'!AC24^2</f>
        <v>6209.44</v>
      </c>
      <c r="AD24" s="28">
        <f>'Measures-Medidas'!AD24^2</f>
        <v>6889</v>
      </c>
      <c r="AE24" s="28">
        <f>'Measures-Medidas'!AE24^2</f>
        <v>6889</v>
      </c>
      <c r="AF24" s="28">
        <f>'Measures-Medidas'!AF24^2</f>
        <v>0</v>
      </c>
      <c r="AG24" s="28">
        <f>'Measures-Medidas'!AG24^2</f>
        <v>0</v>
      </c>
      <c r="AH24" s="28">
        <f>'Measures-Medidas'!AH24^2</f>
        <v>0</v>
      </c>
      <c r="AI24" s="28">
        <f>'Measures-Medidas'!AI24^2</f>
        <v>0</v>
      </c>
      <c r="AJ24" s="28">
        <f>'Measures-Medidas'!AJ24^2</f>
        <v>0</v>
      </c>
      <c r="AK24" s="28">
        <f>'Measures-Medidas'!AK24^2</f>
        <v>0</v>
      </c>
      <c r="AL24" s="28">
        <f>'Measures-Medidas'!AL24^2</f>
        <v>6561</v>
      </c>
      <c r="AM24" s="28">
        <f>'Measures-Medidas'!AM24^2</f>
        <v>6724</v>
      </c>
      <c r="AN24" s="28">
        <f>'Measures-Medidas'!AN24^2</f>
        <v>0</v>
      </c>
      <c r="AO24" s="28">
        <f>'Measures-Medidas'!AO24^2</f>
        <v>0</v>
      </c>
      <c r="AP24" s="28">
        <f>'Measures-Medidas'!AP24^2</f>
        <v>4356</v>
      </c>
      <c r="AQ24" s="28">
        <f>'Measures-Medidas'!AQ24^2</f>
        <v>4356</v>
      </c>
      <c r="AR24" s="17"/>
      <c r="AS24" s="20">
        <f t="shared" si="0"/>
        <v>105191.63</v>
      </c>
    </row>
    <row r="25" spans="2:45">
      <c r="B25" s="27">
        <f>'sqr(sum)-cuadrado(sum)'!B25</f>
        <v>16</v>
      </c>
      <c r="C25" s="17" t="str">
        <f>'sqr(sum)-cuadrado(sum)'!C25</f>
        <v>Hips girth</v>
      </c>
      <c r="D25" s="28">
        <f>'Measures-Medidas'!D25^2</f>
        <v>0</v>
      </c>
      <c r="E25" s="28">
        <f>'Measures-Medidas'!E25^2</f>
        <v>0</v>
      </c>
      <c r="F25" s="28">
        <f>'Measures-Medidas'!F25^2</f>
        <v>0</v>
      </c>
      <c r="G25" s="28">
        <f>'Measures-Medidas'!G25^2</f>
        <v>0</v>
      </c>
      <c r="H25" s="28">
        <f>'Measures-Medidas'!H25^2</f>
        <v>0</v>
      </c>
      <c r="I25" s="28">
        <f>'Measures-Medidas'!I25^2</f>
        <v>0</v>
      </c>
      <c r="J25" s="28">
        <f>'Measures-Medidas'!J25^2</f>
        <v>0</v>
      </c>
      <c r="K25" s="28">
        <f>'Measures-Medidas'!K25^2</f>
        <v>0</v>
      </c>
      <c r="L25" s="28">
        <f>'Measures-Medidas'!L25^2</f>
        <v>0</v>
      </c>
      <c r="M25" s="28">
        <f>'Measures-Medidas'!M25^2</f>
        <v>0</v>
      </c>
      <c r="N25" s="28">
        <f>'Measures-Medidas'!N25^2</f>
        <v>0</v>
      </c>
      <c r="O25" s="28">
        <f>'Measures-Medidas'!O25^2</f>
        <v>0</v>
      </c>
      <c r="P25" s="28">
        <f>'Measures-Medidas'!P25^2</f>
        <v>8649</v>
      </c>
      <c r="Q25" s="28">
        <f>'Measures-Medidas'!Q25^2</f>
        <v>8649</v>
      </c>
      <c r="R25" s="28">
        <f>'Measures-Medidas'!R25^2</f>
        <v>8281</v>
      </c>
      <c r="S25" s="28">
        <f>'Measures-Medidas'!S25^2</f>
        <v>8299.2099999999991</v>
      </c>
      <c r="T25" s="28">
        <f>'Measures-Medidas'!T25^2</f>
        <v>0</v>
      </c>
      <c r="U25" s="28">
        <f>'Measures-Medidas'!U25^2</f>
        <v>0</v>
      </c>
      <c r="V25" s="28">
        <f>'Measures-Medidas'!V25^2</f>
        <v>8136.0400000000009</v>
      </c>
      <c r="W25" s="28">
        <f>'Measures-Medidas'!W25^2</f>
        <v>8136.0400000000009</v>
      </c>
      <c r="X25" s="28">
        <f>'Measures-Medidas'!X25^2</f>
        <v>9702.25</v>
      </c>
      <c r="Y25" s="28">
        <f>'Measures-Medidas'!Y25^2</f>
        <v>9721.9599999999991</v>
      </c>
      <c r="Z25" s="28">
        <f>'Measures-Medidas'!Z25^2</f>
        <v>8372.25</v>
      </c>
      <c r="AA25" s="28">
        <f>'Measures-Medidas'!AA25^2</f>
        <v>8372.25</v>
      </c>
      <c r="AB25" s="28">
        <f>'Measures-Medidas'!AB25^2</f>
        <v>9025</v>
      </c>
      <c r="AC25" s="28">
        <f>'Measures-Medidas'!AC25^2</f>
        <v>9025</v>
      </c>
      <c r="AD25" s="28">
        <f>'Measures-Medidas'!AD25^2</f>
        <v>8372.25</v>
      </c>
      <c r="AE25" s="28">
        <f>'Measures-Medidas'!AE25^2</f>
        <v>8372.25</v>
      </c>
      <c r="AF25" s="28">
        <f>'Measures-Medidas'!AF25^2</f>
        <v>0</v>
      </c>
      <c r="AG25" s="28">
        <f>'Measures-Medidas'!AG25^2</f>
        <v>0</v>
      </c>
      <c r="AH25" s="28">
        <f>'Measures-Medidas'!AH25^2</f>
        <v>0</v>
      </c>
      <c r="AI25" s="28">
        <f>'Measures-Medidas'!AI25^2</f>
        <v>0</v>
      </c>
      <c r="AJ25" s="28">
        <f>'Measures-Medidas'!AJ25^2</f>
        <v>0</v>
      </c>
      <c r="AK25" s="28">
        <f>'Measures-Medidas'!AK25^2</f>
        <v>0</v>
      </c>
      <c r="AL25" s="28">
        <f>'Measures-Medidas'!AL25^2</f>
        <v>8930.25</v>
      </c>
      <c r="AM25" s="28">
        <f>'Measures-Medidas'!AM25^2</f>
        <v>9216</v>
      </c>
      <c r="AN25" s="28">
        <f>'Measures-Medidas'!AN25^2</f>
        <v>0</v>
      </c>
      <c r="AO25" s="28">
        <f>'Measures-Medidas'!AO25^2</f>
        <v>0</v>
      </c>
      <c r="AP25" s="28">
        <f>'Measures-Medidas'!AP25^2</f>
        <v>8190.25</v>
      </c>
      <c r="AQ25" s="28">
        <f>'Measures-Medidas'!AQ25^2</f>
        <v>8464</v>
      </c>
      <c r="AR25" s="17"/>
      <c r="AS25" s="20">
        <f t="shared" si="0"/>
        <v>155914</v>
      </c>
    </row>
    <row r="26" spans="2:45">
      <c r="B26" s="27">
        <f>'sqr(sum)-cuadrado(sum)'!B26</f>
        <v>17</v>
      </c>
      <c r="C26" s="17" t="str">
        <f>'sqr(sum)-cuadrado(sum)'!C26</f>
        <v>Thigh middle girth</v>
      </c>
      <c r="D26" s="28">
        <f>'Measures-Medidas'!D26^2</f>
        <v>0</v>
      </c>
      <c r="E26" s="28">
        <f>'Measures-Medidas'!E26^2</f>
        <v>0</v>
      </c>
      <c r="F26" s="28">
        <f>'Measures-Medidas'!F26^2</f>
        <v>0</v>
      </c>
      <c r="G26" s="28">
        <f>'Measures-Medidas'!G26^2</f>
        <v>0</v>
      </c>
      <c r="H26" s="28">
        <f>'Measures-Medidas'!H26^2</f>
        <v>0</v>
      </c>
      <c r="I26" s="28">
        <f>'Measures-Medidas'!I26^2</f>
        <v>0</v>
      </c>
      <c r="J26" s="28">
        <f>'Measures-Medidas'!J26^2</f>
        <v>0</v>
      </c>
      <c r="K26" s="28">
        <f>'Measures-Medidas'!K26^2</f>
        <v>0</v>
      </c>
      <c r="L26" s="28">
        <f>'Measures-Medidas'!L26^2</f>
        <v>0</v>
      </c>
      <c r="M26" s="28">
        <f>'Measures-Medidas'!M26^2</f>
        <v>0</v>
      </c>
      <c r="N26" s="28">
        <f>'Measures-Medidas'!N26^2</f>
        <v>0</v>
      </c>
      <c r="O26" s="28">
        <f>'Measures-Medidas'!O26^2</f>
        <v>0</v>
      </c>
      <c r="P26" s="28">
        <f>'Measures-Medidas'!P26^2</f>
        <v>2809</v>
      </c>
      <c r="Q26" s="28">
        <f>'Measures-Medidas'!Q26^2</f>
        <v>2809</v>
      </c>
      <c r="R26" s="28">
        <f>'Measures-Medidas'!R26^2</f>
        <v>2070.25</v>
      </c>
      <c r="S26" s="28">
        <f>'Measures-Medidas'!S26^2</f>
        <v>2070.25</v>
      </c>
      <c r="T26" s="28">
        <f>'Measures-Medidas'!T26^2</f>
        <v>0</v>
      </c>
      <c r="U26" s="28">
        <f>'Measures-Medidas'!U26^2</f>
        <v>0</v>
      </c>
      <c r="V26" s="28">
        <f>'Measures-Medidas'!V26^2</f>
        <v>2704</v>
      </c>
      <c r="W26" s="28">
        <f>'Measures-Medidas'!W26^2</f>
        <v>2704</v>
      </c>
      <c r="X26" s="28">
        <f>'Measures-Medidas'!X26^2</f>
        <v>3540.25</v>
      </c>
      <c r="Y26" s="28">
        <f>'Measures-Medidas'!Y26^2</f>
        <v>3540.25</v>
      </c>
      <c r="Z26" s="28">
        <f>'Measures-Medidas'!Z26^2</f>
        <v>2401</v>
      </c>
      <c r="AA26" s="28">
        <f>'Measures-Medidas'!AA26^2</f>
        <v>2401</v>
      </c>
      <c r="AB26" s="28">
        <f>'Measures-Medidas'!AB26^2</f>
        <v>3025</v>
      </c>
      <c r="AC26" s="28">
        <f>'Measures-Medidas'!AC26^2</f>
        <v>3036.01</v>
      </c>
      <c r="AD26" s="28">
        <f>'Measures-Medidas'!AD26^2</f>
        <v>2550.25</v>
      </c>
      <c r="AE26" s="28">
        <f>'Measures-Medidas'!AE26^2</f>
        <v>2550.25</v>
      </c>
      <c r="AF26" s="28">
        <f>'Measures-Medidas'!AF26^2</f>
        <v>0</v>
      </c>
      <c r="AG26" s="28">
        <f>'Measures-Medidas'!AG26^2</f>
        <v>0</v>
      </c>
      <c r="AH26" s="28">
        <f>'Measures-Medidas'!AH26^2</f>
        <v>0</v>
      </c>
      <c r="AI26" s="28">
        <f>'Measures-Medidas'!AI26^2</f>
        <v>0</v>
      </c>
      <c r="AJ26" s="28">
        <f>'Measures-Medidas'!AJ26^2</f>
        <v>0</v>
      </c>
      <c r="AK26" s="28">
        <f>'Measures-Medidas'!AK26^2</f>
        <v>0</v>
      </c>
      <c r="AL26" s="28">
        <f>'Measures-Medidas'!AL26^2</f>
        <v>3080.25</v>
      </c>
      <c r="AM26" s="28">
        <f>'Measures-Medidas'!AM26^2</f>
        <v>3249</v>
      </c>
      <c r="AN26" s="28">
        <f>'Measures-Medidas'!AN26^2</f>
        <v>0</v>
      </c>
      <c r="AO26" s="28">
        <f>'Measures-Medidas'!AO26^2</f>
        <v>0</v>
      </c>
      <c r="AP26" s="28">
        <f>'Measures-Medidas'!AP26^2</f>
        <v>0</v>
      </c>
      <c r="AQ26" s="28">
        <f>'Measures-Medidas'!AQ26^2</f>
        <v>0</v>
      </c>
      <c r="AR26" s="17"/>
      <c r="AS26" s="20">
        <f t="shared" si="0"/>
        <v>44539.76</v>
      </c>
    </row>
    <row r="27" spans="2:45">
      <c r="B27" s="27">
        <f>'sqr(sum)-cuadrado(sum)'!B27</f>
        <v>18</v>
      </c>
      <c r="C27" s="17" t="str">
        <f>'sqr(sum)-cuadrado(sum)'!C27</f>
        <v>Calf girth</v>
      </c>
      <c r="D27" s="28">
        <f>'Measures-Medidas'!D27^2</f>
        <v>0</v>
      </c>
      <c r="E27" s="28">
        <f>'Measures-Medidas'!E27^2</f>
        <v>0</v>
      </c>
      <c r="F27" s="28">
        <f>'Measures-Medidas'!F27^2</f>
        <v>0</v>
      </c>
      <c r="G27" s="28">
        <f>'Measures-Medidas'!G27^2</f>
        <v>0</v>
      </c>
      <c r="H27" s="28">
        <f>'Measures-Medidas'!H27^2</f>
        <v>0</v>
      </c>
      <c r="I27" s="28">
        <f>'Measures-Medidas'!I27^2</f>
        <v>0</v>
      </c>
      <c r="J27" s="28">
        <f>'Measures-Medidas'!J27^2</f>
        <v>0</v>
      </c>
      <c r="K27" s="28">
        <f>'Measures-Medidas'!K27^2</f>
        <v>0</v>
      </c>
      <c r="L27" s="28">
        <f>'Measures-Medidas'!L27^2</f>
        <v>0</v>
      </c>
      <c r="M27" s="28">
        <f>'Measures-Medidas'!M27^2</f>
        <v>0</v>
      </c>
      <c r="N27" s="28">
        <f>'Measures-Medidas'!N27^2</f>
        <v>0</v>
      </c>
      <c r="O27" s="28">
        <f>'Measures-Medidas'!O27^2</f>
        <v>0</v>
      </c>
      <c r="P27" s="28">
        <f>'Measures-Medidas'!P27^2</f>
        <v>1369</v>
      </c>
      <c r="Q27" s="28">
        <f>'Measures-Medidas'!Q27^2</f>
        <v>1369</v>
      </c>
      <c r="R27" s="28">
        <f>'Measures-Medidas'!R27^2</f>
        <v>1056.25</v>
      </c>
      <c r="S27" s="28">
        <f>'Measures-Medidas'!S27^2</f>
        <v>1056.25</v>
      </c>
      <c r="T27" s="28">
        <f>'Measures-Medidas'!T27^2</f>
        <v>0</v>
      </c>
      <c r="U27" s="28">
        <f>'Measures-Medidas'!U27^2</f>
        <v>0</v>
      </c>
      <c r="V27" s="28">
        <f>'Measures-Medidas'!V27^2</f>
        <v>1260.25</v>
      </c>
      <c r="W27" s="28">
        <f>'Measures-Medidas'!W27^2</f>
        <v>1260.25</v>
      </c>
      <c r="X27" s="28">
        <f>'Measures-Medidas'!X27^2</f>
        <v>1482.25</v>
      </c>
      <c r="Y27" s="28">
        <f>'Measures-Medidas'!Y27^2</f>
        <v>1482.25</v>
      </c>
      <c r="Z27" s="28">
        <f>'Measures-Medidas'!Z27^2</f>
        <v>1156</v>
      </c>
      <c r="AA27" s="28">
        <f>'Measures-Medidas'!AA27^2</f>
        <v>1156</v>
      </c>
      <c r="AB27" s="28">
        <f>'Measures-Medidas'!AB27^2</f>
        <v>1296</v>
      </c>
      <c r="AC27" s="28">
        <f>'Measures-Medidas'!AC27^2</f>
        <v>1296</v>
      </c>
      <c r="AD27" s="28">
        <f>'Measures-Medidas'!AD27^2</f>
        <v>1156</v>
      </c>
      <c r="AE27" s="28">
        <f>'Measures-Medidas'!AE27^2</f>
        <v>1156</v>
      </c>
      <c r="AF27" s="28">
        <f>'Measures-Medidas'!AF27^2</f>
        <v>0</v>
      </c>
      <c r="AG27" s="28">
        <f>'Measures-Medidas'!AG27^2</f>
        <v>0</v>
      </c>
      <c r="AH27" s="28">
        <f>'Measures-Medidas'!AH27^2</f>
        <v>0</v>
      </c>
      <c r="AI27" s="28">
        <f>'Measures-Medidas'!AI27^2</f>
        <v>0</v>
      </c>
      <c r="AJ27" s="28">
        <f>'Measures-Medidas'!AJ27^2</f>
        <v>0</v>
      </c>
      <c r="AK27" s="28">
        <f>'Measures-Medidas'!AK27^2</f>
        <v>0</v>
      </c>
      <c r="AL27" s="28">
        <f>'Measures-Medidas'!AL27^2</f>
        <v>1296</v>
      </c>
      <c r="AM27" s="28">
        <f>'Measures-Medidas'!AM27^2</f>
        <v>1332.25</v>
      </c>
      <c r="AN27" s="28">
        <f>'Measures-Medidas'!AN27^2</f>
        <v>0</v>
      </c>
      <c r="AO27" s="28">
        <f>'Measures-Medidas'!AO27^2</f>
        <v>0</v>
      </c>
      <c r="AP27" s="28">
        <f>'Measures-Medidas'!AP27^2</f>
        <v>0</v>
      </c>
      <c r="AQ27" s="28">
        <f>'Measures-Medidas'!AQ27^2</f>
        <v>0</v>
      </c>
      <c r="AS27" s="20">
        <f t="shared" si="0"/>
        <v>20179.75</v>
      </c>
    </row>
    <row r="28" spans="2:45">
      <c r="B28" s="27">
        <f>'sqr(sum)-cuadrado(sum)'!B28</f>
        <v>19</v>
      </c>
      <c r="C28" s="17" t="str">
        <f>'sqr(sum)-cuadrado(sum)'!C28</f>
        <v>Humerus breadth</v>
      </c>
      <c r="D28" s="28">
        <f>'Measures-Medidas'!D28^2</f>
        <v>0</v>
      </c>
      <c r="E28" s="28">
        <f>'Measures-Medidas'!E28^2</f>
        <v>0</v>
      </c>
      <c r="F28" s="28">
        <f>'Measures-Medidas'!F28^2</f>
        <v>0</v>
      </c>
      <c r="G28" s="28">
        <f>'Measures-Medidas'!G28^2</f>
        <v>0</v>
      </c>
      <c r="H28" s="28">
        <f>'Measures-Medidas'!H28^2</f>
        <v>0</v>
      </c>
      <c r="I28" s="28">
        <f>'Measures-Medidas'!I28^2</f>
        <v>0</v>
      </c>
      <c r="J28" s="28">
        <f>'Measures-Medidas'!J28^2</f>
        <v>0</v>
      </c>
      <c r="K28" s="28">
        <f>'Measures-Medidas'!K28^2</f>
        <v>0</v>
      </c>
      <c r="L28" s="28">
        <f>'Measures-Medidas'!L28^2</f>
        <v>0</v>
      </c>
      <c r="M28" s="28">
        <f>'Measures-Medidas'!M28^2</f>
        <v>0</v>
      </c>
      <c r="N28" s="28">
        <f>'Measures-Medidas'!N28^2</f>
        <v>0</v>
      </c>
      <c r="O28" s="28">
        <f>'Measures-Medidas'!O28^2</f>
        <v>0</v>
      </c>
      <c r="P28" s="28">
        <f>'Measures-Medidas'!P28^2</f>
        <v>50.41</v>
      </c>
      <c r="Q28" s="28">
        <f>'Measures-Medidas'!Q28^2</f>
        <v>50.41</v>
      </c>
      <c r="R28" s="28">
        <f>'Measures-Medidas'!R28^2</f>
        <v>36</v>
      </c>
      <c r="S28" s="28">
        <f>'Measures-Medidas'!S28^2</f>
        <v>36</v>
      </c>
      <c r="T28" s="28">
        <f>'Measures-Medidas'!T28^2</f>
        <v>0</v>
      </c>
      <c r="U28" s="28">
        <f>'Measures-Medidas'!U28^2</f>
        <v>0</v>
      </c>
      <c r="V28" s="28">
        <f>'Measures-Medidas'!V28^2</f>
        <v>47.610000000000007</v>
      </c>
      <c r="W28" s="28">
        <f>'Measures-Medidas'!W28^2</f>
        <v>47.610000000000007</v>
      </c>
      <c r="X28" s="28">
        <f>'Measures-Medidas'!X28^2</f>
        <v>51.84</v>
      </c>
      <c r="Y28" s="28">
        <f>'Measures-Medidas'!Y28^2</f>
        <v>51.84</v>
      </c>
      <c r="Z28" s="28">
        <f>'Measures-Medidas'!Z28^2</f>
        <v>43.559999999999995</v>
      </c>
      <c r="AA28" s="28">
        <f>'Measures-Medidas'!AA28^2</f>
        <v>43.559999999999995</v>
      </c>
      <c r="AB28" s="28">
        <f>'Measures-Medidas'!AB28^2</f>
        <v>51.84</v>
      </c>
      <c r="AC28" s="28">
        <f>'Measures-Medidas'!AC28^2</f>
        <v>51.84</v>
      </c>
      <c r="AD28" s="28">
        <f>'Measures-Medidas'!AD28^2</f>
        <v>44.89</v>
      </c>
      <c r="AE28" s="28">
        <f>'Measures-Medidas'!AE28^2</f>
        <v>44.89</v>
      </c>
      <c r="AF28" s="28">
        <f>'Measures-Medidas'!AF28^2</f>
        <v>0</v>
      </c>
      <c r="AG28" s="28">
        <f>'Measures-Medidas'!AG28^2</f>
        <v>0</v>
      </c>
      <c r="AH28" s="28">
        <f>'Measures-Medidas'!AH28^2</f>
        <v>0</v>
      </c>
      <c r="AI28" s="28">
        <f>'Measures-Medidas'!AI28^2</f>
        <v>0</v>
      </c>
      <c r="AJ28" s="28">
        <f>'Measures-Medidas'!AJ28^2</f>
        <v>0</v>
      </c>
      <c r="AK28" s="28">
        <f>'Measures-Medidas'!AK28^2</f>
        <v>0</v>
      </c>
      <c r="AL28" s="28">
        <f>'Measures-Medidas'!AL28^2</f>
        <v>0</v>
      </c>
      <c r="AM28" s="28">
        <f>'Measures-Medidas'!AM28^2</f>
        <v>0</v>
      </c>
      <c r="AN28" s="28">
        <f>'Measures-Medidas'!AN28^2</f>
        <v>0</v>
      </c>
      <c r="AO28" s="28">
        <f>'Measures-Medidas'!AO28^2</f>
        <v>0</v>
      </c>
      <c r="AP28" s="28">
        <f>'Measures-Medidas'!AP28^2</f>
        <v>0</v>
      </c>
      <c r="AQ28" s="28">
        <f>'Measures-Medidas'!AQ28^2</f>
        <v>0</v>
      </c>
      <c r="AS28" s="20">
        <f t="shared" si="0"/>
        <v>652.30000000000007</v>
      </c>
    </row>
    <row r="29" spans="2:45">
      <c r="B29" s="27">
        <f>'sqr(sum)-cuadrado(sum)'!B29</f>
        <v>20</v>
      </c>
      <c r="C29" s="17" t="str">
        <f>'sqr(sum)-cuadrado(sum)'!C29</f>
        <v>Bi-styloid breadth</v>
      </c>
      <c r="D29" s="28">
        <f>'Measures-Medidas'!D29^2</f>
        <v>0</v>
      </c>
      <c r="E29" s="28">
        <f>'Measures-Medidas'!E29^2</f>
        <v>0</v>
      </c>
      <c r="F29" s="28">
        <f>'Measures-Medidas'!F29^2</f>
        <v>0</v>
      </c>
      <c r="G29" s="28">
        <f>'Measures-Medidas'!G29^2</f>
        <v>0</v>
      </c>
      <c r="H29" s="28">
        <f>'Measures-Medidas'!H29^2</f>
        <v>0</v>
      </c>
      <c r="I29" s="28">
        <f>'Measures-Medidas'!I29^2</f>
        <v>0</v>
      </c>
      <c r="J29" s="28">
        <f>'Measures-Medidas'!J29^2</f>
        <v>0</v>
      </c>
      <c r="K29" s="28">
        <f>'Measures-Medidas'!K29^2</f>
        <v>0</v>
      </c>
      <c r="L29" s="28">
        <f>'Measures-Medidas'!L29^2</f>
        <v>0</v>
      </c>
      <c r="M29" s="28">
        <f>'Measures-Medidas'!M29^2</f>
        <v>0</v>
      </c>
      <c r="N29" s="28">
        <f>'Measures-Medidas'!N29^2</f>
        <v>0</v>
      </c>
      <c r="O29" s="28">
        <f>'Measures-Medidas'!O29^2</f>
        <v>0</v>
      </c>
      <c r="P29" s="28">
        <f>'Measures-Medidas'!P29^2</f>
        <v>33.64</v>
      </c>
      <c r="Q29" s="28">
        <f>'Measures-Medidas'!Q29^2</f>
        <v>33.64</v>
      </c>
      <c r="R29" s="28">
        <f>'Measures-Medidas'!R29^2</f>
        <v>23.04</v>
      </c>
      <c r="S29" s="28">
        <f>'Measures-Medidas'!S29^2</f>
        <v>23.04</v>
      </c>
      <c r="T29" s="28">
        <f>'Measures-Medidas'!T29^2</f>
        <v>0</v>
      </c>
      <c r="U29" s="28">
        <f>'Measures-Medidas'!U29^2</f>
        <v>0</v>
      </c>
      <c r="V29" s="28">
        <f>'Measures-Medidas'!V29^2</f>
        <v>32.49</v>
      </c>
      <c r="W29" s="28">
        <f>'Measures-Medidas'!W29^2</f>
        <v>32.49</v>
      </c>
      <c r="X29" s="28">
        <f>'Measures-Medidas'!X29^2</f>
        <v>30.25</v>
      </c>
      <c r="Y29" s="28">
        <f>'Measures-Medidas'!Y29^2</f>
        <v>30.25</v>
      </c>
      <c r="Z29" s="28">
        <f>'Measures-Medidas'!Z29^2</f>
        <v>36</v>
      </c>
      <c r="AA29" s="28">
        <f>'Measures-Medidas'!AA29^2</f>
        <v>36</v>
      </c>
      <c r="AB29" s="28">
        <f>'Measures-Medidas'!AB29^2</f>
        <v>42.25</v>
      </c>
      <c r="AC29" s="28">
        <f>'Measures-Medidas'!AC29^2</f>
        <v>42.25</v>
      </c>
      <c r="AD29" s="28">
        <f>'Measures-Medidas'!AD29^2</f>
        <v>27.040000000000003</v>
      </c>
      <c r="AE29" s="28">
        <f>'Measures-Medidas'!AE29^2</f>
        <v>27.040000000000003</v>
      </c>
      <c r="AF29" s="28">
        <f>'Measures-Medidas'!AF29^2</f>
        <v>0</v>
      </c>
      <c r="AG29" s="28">
        <f>'Measures-Medidas'!AG29^2</f>
        <v>0</v>
      </c>
      <c r="AH29" s="28">
        <f>'Measures-Medidas'!AH29^2</f>
        <v>0</v>
      </c>
      <c r="AI29" s="28">
        <f>'Measures-Medidas'!AI29^2</f>
        <v>0</v>
      </c>
      <c r="AJ29" s="28">
        <f>'Measures-Medidas'!AJ29^2</f>
        <v>0</v>
      </c>
      <c r="AK29" s="28">
        <f>'Measures-Medidas'!AK29^2</f>
        <v>0</v>
      </c>
      <c r="AL29" s="28">
        <f>'Measures-Medidas'!AL29^2</f>
        <v>0</v>
      </c>
      <c r="AM29" s="28">
        <f>'Measures-Medidas'!AM29^2</f>
        <v>0</v>
      </c>
      <c r="AN29" s="28">
        <f>'Measures-Medidas'!AN29^2</f>
        <v>0</v>
      </c>
      <c r="AO29" s="28">
        <f>'Measures-Medidas'!AO29^2</f>
        <v>0</v>
      </c>
      <c r="AP29" s="28">
        <f>'Measures-Medidas'!AP29^2</f>
        <v>0</v>
      </c>
      <c r="AQ29" s="28">
        <f>'Measures-Medidas'!AQ29^2</f>
        <v>0</v>
      </c>
      <c r="AS29" s="20">
        <f t="shared" si="0"/>
        <v>449.42000000000007</v>
      </c>
    </row>
    <row r="30" spans="2:45">
      <c r="B30" s="27">
        <f>'sqr(sum)-cuadrado(sum)'!B30</f>
        <v>21</v>
      </c>
      <c r="C30" s="17" t="str">
        <f>'sqr(sum)-cuadrado(sum)'!C30</f>
        <v>Femur breadth</v>
      </c>
      <c r="D30" s="28">
        <f>'Measures-Medidas'!D30^2</f>
        <v>0</v>
      </c>
      <c r="E30" s="28">
        <f>'Measures-Medidas'!E30^2</f>
        <v>0</v>
      </c>
      <c r="F30" s="28">
        <f>'Measures-Medidas'!F30^2</f>
        <v>0</v>
      </c>
      <c r="G30" s="28">
        <f>'Measures-Medidas'!G30^2</f>
        <v>0</v>
      </c>
      <c r="H30" s="28">
        <f>'Measures-Medidas'!H30^2</f>
        <v>0</v>
      </c>
      <c r="I30" s="28">
        <f>'Measures-Medidas'!I30^2</f>
        <v>0</v>
      </c>
      <c r="J30" s="28">
        <f>'Measures-Medidas'!J30^2</f>
        <v>0</v>
      </c>
      <c r="K30" s="28">
        <f>'Measures-Medidas'!K30^2</f>
        <v>0</v>
      </c>
      <c r="L30" s="28">
        <f>'Measures-Medidas'!L30^2</f>
        <v>0</v>
      </c>
      <c r="M30" s="28">
        <f>'Measures-Medidas'!M30^2</f>
        <v>0</v>
      </c>
      <c r="N30" s="28">
        <f>'Measures-Medidas'!N30^2</f>
        <v>0</v>
      </c>
      <c r="O30" s="28">
        <f>'Measures-Medidas'!O30^2</f>
        <v>0</v>
      </c>
      <c r="P30" s="28">
        <f>'Measures-Medidas'!P30^2</f>
        <v>104.03999999999999</v>
      </c>
      <c r="Q30" s="28">
        <f>'Measures-Medidas'!Q30^2</f>
        <v>104.03999999999999</v>
      </c>
      <c r="R30" s="28">
        <f>'Measures-Medidas'!R30^2</f>
        <v>86.490000000000009</v>
      </c>
      <c r="S30" s="28">
        <f>'Measures-Medidas'!S30^2</f>
        <v>86.490000000000009</v>
      </c>
      <c r="T30" s="28">
        <f>'Measures-Medidas'!T30^2</f>
        <v>0</v>
      </c>
      <c r="U30" s="28">
        <f>'Measures-Medidas'!U30^2</f>
        <v>0</v>
      </c>
      <c r="V30" s="28">
        <f>'Measures-Medidas'!V30^2</f>
        <v>100</v>
      </c>
      <c r="W30" s="28">
        <f>'Measures-Medidas'!W30^2</f>
        <v>100</v>
      </c>
      <c r="X30" s="28">
        <f>'Measures-Medidas'!X30^2</f>
        <v>92.16</v>
      </c>
      <c r="Y30" s="28">
        <f>'Measures-Medidas'!Y30^2</f>
        <v>92.16</v>
      </c>
      <c r="Z30" s="28">
        <f>'Measures-Medidas'!Z30^2</f>
        <v>94.089999999999989</v>
      </c>
      <c r="AA30" s="28">
        <f>'Measures-Medidas'!AA30^2</f>
        <v>94.089999999999989</v>
      </c>
      <c r="AB30" s="28">
        <f>'Measures-Medidas'!AB30^2</f>
        <v>110.25</v>
      </c>
      <c r="AC30" s="28">
        <f>'Measures-Medidas'!AC30^2</f>
        <v>110.25</v>
      </c>
      <c r="AD30" s="28">
        <f>'Measures-Medidas'!AD30^2</f>
        <v>81</v>
      </c>
      <c r="AE30" s="28">
        <f>'Measures-Medidas'!AE30^2</f>
        <v>81</v>
      </c>
      <c r="AF30" s="28">
        <f>'Measures-Medidas'!AF30^2</f>
        <v>0</v>
      </c>
      <c r="AG30" s="28">
        <f>'Measures-Medidas'!AG30^2</f>
        <v>0</v>
      </c>
      <c r="AH30" s="28">
        <f>'Measures-Medidas'!AH30^2</f>
        <v>0</v>
      </c>
      <c r="AI30" s="28">
        <f>'Measures-Medidas'!AI30^2</f>
        <v>0</v>
      </c>
      <c r="AJ30" s="28">
        <f>'Measures-Medidas'!AJ30^2</f>
        <v>0</v>
      </c>
      <c r="AK30" s="28">
        <f>'Measures-Medidas'!AK30^2</f>
        <v>0</v>
      </c>
      <c r="AL30" s="28">
        <f>'Measures-Medidas'!AL30^2</f>
        <v>0</v>
      </c>
      <c r="AM30" s="28">
        <f>'Measures-Medidas'!AM30^2</f>
        <v>0</v>
      </c>
      <c r="AN30" s="28">
        <f>'Measures-Medidas'!AN30^2</f>
        <v>0</v>
      </c>
      <c r="AO30" s="28">
        <f>'Measures-Medidas'!AO30^2</f>
        <v>0</v>
      </c>
      <c r="AP30" s="28">
        <f>'Measures-Medidas'!AP30^2</f>
        <v>0</v>
      </c>
      <c r="AQ30" s="28">
        <f>'Measures-Medidas'!AQ30^2</f>
        <v>0</v>
      </c>
      <c r="AS30" s="20">
        <f t="shared" si="0"/>
        <v>1336.06</v>
      </c>
    </row>
  </sheetData>
  <mergeCells count="20">
    <mergeCell ref="AJ7:AK7"/>
    <mergeCell ref="AL7:AM7"/>
    <mergeCell ref="AN7:AO7"/>
    <mergeCell ref="AP7:AQ7"/>
    <mergeCell ref="AB7:AC7"/>
    <mergeCell ref="AD7:AE7"/>
    <mergeCell ref="AF7:AG7"/>
    <mergeCell ref="AH7:AI7"/>
    <mergeCell ref="V7:W7"/>
    <mergeCell ref="X7:Y7"/>
    <mergeCell ref="Z7:AA7"/>
    <mergeCell ref="L7:M7"/>
    <mergeCell ref="N7:O7"/>
    <mergeCell ref="P7:Q7"/>
    <mergeCell ref="R7:S7"/>
    <mergeCell ref="D7:E7"/>
    <mergeCell ref="F7:G7"/>
    <mergeCell ref="H7:I7"/>
    <mergeCell ref="J7:K7"/>
    <mergeCell ref="T7:U7"/>
  </mergeCells>
  <phoneticPr fontId="9" type="noConversion"/>
  <pageMargins left="0" right="0" top="1" bottom="1" header="0.5" footer="0.5"/>
  <pageSetup paperSize="9" orientation="portrait" horizontalDpi="0"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3"/>
  <dimension ref="B3:R30"/>
  <sheetViews>
    <sheetView workbookViewId="0">
      <selection activeCell="B5" sqref="B5"/>
    </sheetView>
  </sheetViews>
  <sheetFormatPr baseColWidth="10" defaultColWidth="9.109375" defaultRowHeight="13.2"/>
  <cols>
    <col min="1" max="1" width="2.44140625" style="2" customWidth="1"/>
    <col min="2" max="2" width="4.33203125" style="2" customWidth="1"/>
    <col min="3" max="3" width="27.44140625" style="2" bestFit="1" customWidth="1"/>
    <col min="4" max="6" width="5.6640625" style="3" customWidth="1"/>
    <col min="7" max="7" width="10.44140625" style="3" bestFit="1" customWidth="1"/>
    <col min="8" max="8" width="9" style="3" bestFit="1" customWidth="1"/>
    <col min="9" max="9" width="10.44140625" style="3" bestFit="1" customWidth="1"/>
    <col min="10" max="10" width="9.33203125" style="3" bestFit="1" customWidth="1"/>
    <col min="11" max="11" width="9" style="3" customWidth="1"/>
    <col min="12" max="12" width="1.6640625" style="3" customWidth="1"/>
    <col min="13" max="15" width="6.6640625" style="3" customWidth="1"/>
    <col min="16" max="16" width="1.6640625" style="2" customWidth="1"/>
    <col min="17" max="16384" width="9.109375" style="2"/>
  </cols>
  <sheetData>
    <row r="3" spans="2:18" ht="13.8" thickBot="1"/>
    <row r="4" spans="2:18" ht="16.8" thickTop="1" thickBot="1">
      <c r="B4" s="64" t="str">
        <f>IF(Info!D34=1,"ANTHROPOMETRIC MEASUREMENT ERROR", "ERROR EN LA MEDIDA ANTROPOMÉTRICA")</f>
        <v>ANTHROPOMETRIC MEASUREMENT ERROR</v>
      </c>
      <c r="C4" s="4"/>
      <c r="D4" s="4"/>
      <c r="E4" s="4"/>
      <c r="F4" s="4"/>
      <c r="G4" s="4"/>
      <c r="H4" s="4"/>
      <c r="I4" s="4"/>
      <c r="J4" s="4"/>
      <c r="K4" s="4"/>
      <c r="L4" s="4"/>
      <c r="M4" s="4"/>
      <c r="N4" s="4"/>
      <c r="O4" s="4"/>
      <c r="P4" s="4"/>
      <c r="Q4" s="4"/>
      <c r="R4" s="4"/>
    </row>
    <row r="5" spans="2:18" ht="13.8" thickTop="1"/>
    <row r="6" spans="2:18" ht="13.8" thickBot="1"/>
    <row r="7" spans="2:18" s="6" customFormat="1" ht="13.8" thickTop="1">
      <c r="B7" s="5"/>
      <c r="C7" s="55" t="str">
        <f>'sqr(meas)-cuadrado(med)'!C7</f>
        <v>Sites for restricted profile</v>
      </c>
      <c r="D7" s="286" t="str">
        <f>IF(Info!D34=1,"Degrees of Freedom", "Grados de libertad")</f>
        <v>Degrees of Freedom</v>
      </c>
      <c r="E7" s="287"/>
      <c r="F7" s="288"/>
      <c r="G7" s="286" t="str">
        <f>IF(Info!D34=1,"Sum of Squares","Suma de Cuadrados")</f>
        <v>Sum of Squares</v>
      </c>
      <c r="H7" s="287"/>
      <c r="I7" s="288"/>
      <c r="J7" s="289" t="str">
        <f>IF(Info!D34=1,"Mean square","Media de los cuadrados")</f>
        <v>Mean square</v>
      </c>
      <c r="K7" s="290"/>
      <c r="L7" s="65"/>
      <c r="M7" s="286" t="str">
        <f>IF(Info!D34=1,"TEM intra","ETM intra")</f>
        <v>TEM intra</v>
      </c>
      <c r="N7" s="288"/>
      <c r="O7" s="283" t="s">
        <v>24</v>
      </c>
      <c r="P7" s="66"/>
      <c r="Q7" s="285" t="str">
        <f>IF(Info!D34=1,"%TEM intra (target)","% intra ETM  (objetivo)")</f>
        <v>%TEM intra (target)</v>
      </c>
      <c r="R7" s="285"/>
    </row>
    <row r="8" spans="2:18" s="7" customFormat="1" ht="13.8" thickBot="1">
      <c r="D8" s="67" t="str">
        <f>IF(Info!D34=1,"betw","entre")</f>
        <v>betw</v>
      </c>
      <c r="E8" s="67" t="s">
        <v>23</v>
      </c>
      <c r="F8" s="67" t="s">
        <v>20</v>
      </c>
      <c r="G8" s="67" t="str">
        <f>D8</f>
        <v>betw</v>
      </c>
      <c r="H8" s="67" t="s">
        <v>23</v>
      </c>
      <c r="I8" s="67" t="s">
        <v>20</v>
      </c>
      <c r="J8" s="67" t="str">
        <f>G8</f>
        <v>betw</v>
      </c>
      <c r="K8" s="67" t="s">
        <v>23</v>
      </c>
      <c r="L8" s="68"/>
      <c r="M8" s="67" t="str">
        <f>IF(Info!D34=1,"value","valor" )</f>
        <v>value</v>
      </c>
      <c r="N8" s="67" t="s">
        <v>21</v>
      </c>
      <c r="O8" s="284"/>
      <c r="P8" s="69"/>
      <c r="Q8" s="70" t="str">
        <f>IF(Info!D34=1,"Level 1","Nivel 1")</f>
        <v>Level 1</v>
      </c>
      <c r="R8" s="70" t="str">
        <f>IF(Info!D34=1,"Level 2,3,4","Nivel 2,3,4")</f>
        <v>Level 2,3,4</v>
      </c>
    </row>
    <row r="9" spans="2:18" ht="13.8" thickTop="1">
      <c r="B9" s="15"/>
      <c r="C9" s="17"/>
      <c r="D9" s="18"/>
      <c r="E9" s="18"/>
      <c r="F9" s="18"/>
      <c r="G9" s="18"/>
      <c r="H9" s="18"/>
      <c r="I9" s="18"/>
      <c r="J9" s="18"/>
      <c r="K9" s="18"/>
      <c r="L9" s="21"/>
      <c r="M9" s="18"/>
      <c r="N9" s="18"/>
      <c r="O9" s="18"/>
    </row>
    <row r="10" spans="2:18">
      <c r="B10" s="27">
        <f>'sqr(meas)-cuadrado(med)'!B10</f>
        <v>1</v>
      </c>
      <c r="C10" s="17" t="str">
        <f>'sqr(meas)-cuadrado(med)'!C10</f>
        <v>Mass</v>
      </c>
      <c r="D10" s="24">
        <f>20-1</f>
        <v>19</v>
      </c>
      <c r="E10" s="24">
        <f>F10-D10</f>
        <v>20</v>
      </c>
      <c r="F10" s="24">
        <f>20*2-1</f>
        <v>39</v>
      </c>
      <c r="G10" s="25">
        <f>'sqr(sum)-cuadrado(sum)'!Y10/2-'sqr(sum)-cuadrado(sum)'!AA10/(20*2)</f>
        <v>47520.651187499992</v>
      </c>
      <c r="H10" s="25">
        <f>I10-G10</f>
        <v>1.2500000157160684E-3</v>
      </c>
      <c r="I10" s="25">
        <f>'sqr(meas)-cuadrado(med)'!AS10-'sqr(sum)-cuadrado(sum)'!AA10/(20*2)</f>
        <v>47520.652437500008</v>
      </c>
      <c r="J10" s="25">
        <f>G10/D10</f>
        <v>2501.0869046052626</v>
      </c>
      <c r="K10" s="25">
        <f>H10/E10</f>
        <v>6.2500000785803417E-5</v>
      </c>
      <c r="L10" s="31"/>
      <c r="M10" s="26">
        <f>SQRT(K10)</f>
        <v>7.9056942001195195E-3</v>
      </c>
      <c r="N10" s="26">
        <f>100*M10/'sum(meas)-suma(med)'!AE10</f>
        <v>3.1624358018378998E-2</v>
      </c>
      <c r="O10" s="26">
        <f>(J10-K10)/(J10+(2-1)*K10)</f>
        <v>0.99999995002172937</v>
      </c>
      <c r="Q10" s="29">
        <v>1.5</v>
      </c>
      <c r="R10" s="30">
        <v>1</v>
      </c>
    </row>
    <row r="11" spans="2:18">
      <c r="B11" s="27">
        <f>'sqr(meas)-cuadrado(med)'!B11</f>
        <v>2</v>
      </c>
      <c r="C11" s="17" t="str">
        <f>'sqr(meas)-cuadrado(med)'!C11</f>
        <v>Stature</v>
      </c>
      <c r="D11" s="24">
        <f t="shared" ref="D11:D30" si="0">20-1</f>
        <v>19</v>
      </c>
      <c r="E11" s="24">
        <f>F11-D11</f>
        <v>20</v>
      </c>
      <c r="F11" s="24">
        <f t="shared" ref="F11:F30" si="1">20*2-1</f>
        <v>39</v>
      </c>
      <c r="G11" s="25">
        <f>'sqr(sum)-cuadrado(sum)'!Y11/2-'sqr(sum)-cuadrado(sum)'!AA11/(20*2)</f>
        <v>280122.875</v>
      </c>
      <c r="H11" s="25">
        <f>I11-G11</f>
        <v>0</v>
      </c>
      <c r="I11" s="25">
        <f>'sqr(meas)-cuadrado(med)'!AS11-'sqr(sum)-cuadrado(sum)'!AA11/(20*2)</f>
        <v>280122.875</v>
      </c>
      <c r="J11" s="25">
        <f>G11/D11</f>
        <v>14743.309210526315</v>
      </c>
      <c r="K11" s="25">
        <f>H11/E11</f>
        <v>0</v>
      </c>
      <c r="L11" s="31"/>
      <c r="M11" s="26">
        <f t="shared" ref="M11:M30" si="2">SQRT(K11)</f>
        <v>0</v>
      </c>
      <c r="N11" s="26">
        <f>100*M11/'sum(meas)-suma(med)'!AE11</f>
        <v>0</v>
      </c>
      <c r="O11" s="26">
        <f t="shared" ref="O11:O30" si="3">(J11-K11)/(J11+(2-1)*K11)</f>
        <v>1</v>
      </c>
      <c r="Q11" s="29">
        <v>1.5</v>
      </c>
      <c r="R11" s="30">
        <v>1</v>
      </c>
    </row>
    <row r="12" spans="2:18">
      <c r="B12" s="27">
        <f>'sqr(meas)-cuadrado(med)'!B12</f>
        <v>3</v>
      </c>
      <c r="C12" s="17" t="str">
        <f>'sqr(meas)-cuadrado(med)'!C12</f>
        <v>Sitting height</v>
      </c>
      <c r="D12" s="24">
        <f t="shared" si="0"/>
        <v>19</v>
      </c>
      <c r="E12" s="24">
        <f t="shared" ref="E12:E19" si="4">F12-D12</f>
        <v>20</v>
      </c>
      <c r="F12" s="24">
        <f t="shared" si="1"/>
        <v>39</v>
      </c>
      <c r="G12" s="25">
        <f>'sqr(sum)-cuadrado(sum)'!Y12/2-'sqr(sum)-cuadrado(sum)'!AA12/(20*2)</f>
        <v>94096</v>
      </c>
      <c r="H12" s="25">
        <f t="shared" ref="H12:H19" si="5">I12-G12</f>
        <v>0</v>
      </c>
      <c r="I12" s="25">
        <f>'sqr(meas)-cuadrado(med)'!AS12-'sqr(sum)-cuadrado(sum)'!AA12/(20*2)</f>
        <v>94096</v>
      </c>
      <c r="J12" s="25">
        <f t="shared" ref="J12:K19" si="6">G12/D12</f>
        <v>4952.4210526315792</v>
      </c>
      <c r="K12" s="25">
        <f t="shared" si="6"/>
        <v>0</v>
      </c>
      <c r="L12" s="31"/>
      <c r="M12" s="26">
        <f t="shared" si="2"/>
        <v>0</v>
      </c>
      <c r="N12" s="26">
        <f>100*M12/'sum(meas)-suma(med)'!AE12</f>
        <v>0</v>
      </c>
      <c r="O12" s="26">
        <f t="shared" si="3"/>
        <v>1</v>
      </c>
      <c r="Q12" s="29">
        <v>1.5</v>
      </c>
      <c r="R12" s="30">
        <v>1</v>
      </c>
    </row>
    <row r="13" spans="2:18">
      <c r="B13" s="27">
        <f>'sqr(meas)-cuadrado(med)'!B13</f>
        <v>4</v>
      </c>
      <c r="C13" s="17" t="str">
        <f>'sqr(meas)-cuadrado(med)'!C13</f>
        <v>Arm Span</v>
      </c>
      <c r="D13" s="24">
        <f t="shared" si="0"/>
        <v>19</v>
      </c>
      <c r="E13" s="24">
        <f t="shared" si="4"/>
        <v>20</v>
      </c>
      <c r="F13" s="24">
        <f t="shared" si="1"/>
        <v>39</v>
      </c>
      <c r="G13" s="25">
        <f>'sqr(sum)-cuadrado(sum)'!Y13/2-'sqr(sum)-cuadrado(sum)'!AA13/(20*2)</f>
        <v>275858.10275000002</v>
      </c>
      <c r="H13" s="25">
        <f t="shared" si="5"/>
        <v>4.4999999925494194E-2</v>
      </c>
      <c r="I13" s="25">
        <f>'sqr(meas)-cuadrado(med)'!AS13-'sqr(sum)-cuadrado(sum)'!AA13/(20*2)</f>
        <v>275858.14774999995</v>
      </c>
      <c r="J13" s="25">
        <f t="shared" si="6"/>
        <v>14518.847513157896</v>
      </c>
      <c r="K13" s="25">
        <f t="shared" si="6"/>
        <v>2.2499999962747098E-3</v>
      </c>
      <c r="L13" s="31"/>
      <c r="M13" s="26">
        <f t="shared" si="2"/>
        <v>4.7434164863257681E-2</v>
      </c>
      <c r="N13" s="26">
        <f>100*M13/'sum(meas)-suma(med)'!AE13</f>
        <v>7.7879021242470425E-2</v>
      </c>
      <c r="O13" s="26">
        <f t="shared" si="3"/>
        <v>0.99999969005809242</v>
      </c>
      <c r="Q13" s="29">
        <v>1.5</v>
      </c>
      <c r="R13" s="30">
        <v>1</v>
      </c>
    </row>
    <row r="14" spans="2:18">
      <c r="B14" s="27">
        <f>'sqr(meas)-cuadrado(med)'!B14</f>
        <v>5</v>
      </c>
      <c r="C14" s="17" t="str">
        <f>'sqr(meas)-cuadrado(med)'!C14</f>
        <v>Triceps sf</v>
      </c>
      <c r="D14" s="24">
        <f t="shared" si="0"/>
        <v>19</v>
      </c>
      <c r="E14" s="24">
        <f>F14-D14</f>
        <v>20</v>
      </c>
      <c r="F14" s="24">
        <f t="shared" si="1"/>
        <v>39</v>
      </c>
      <c r="G14" s="25">
        <f>'sqr(sum)-cuadrado(sum)'!Y14/2-'sqr(sum)-cuadrado(sum)'!AA14/(20*2)</f>
        <v>934.31875000000002</v>
      </c>
      <c r="H14" s="25">
        <f>I14-G14</f>
        <v>2.125</v>
      </c>
      <c r="I14" s="25">
        <f>'sqr(meas)-cuadrado(med)'!AS14-'sqr(sum)-cuadrado(sum)'!AA14/(20*2)</f>
        <v>936.44375000000002</v>
      </c>
      <c r="J14" s="25">
        <f>G14/D14</f>
        <v>49.174671052631581</v>
      </c>
      <c r="K14" s="25">
        <f>H14/E14</f>
        <v>0.10625</v>
      </c>
      <c r="L14" s="31"/>
      <c r="M14" s="26">
        <f t="shared" si="2"/>
        <v>0.32596012026013244</v>
      </c>
      <c r="N14" s="26">
        <f>100*M14/'sum(meas)-suma(med)'!AE14</f>
        <v>8.7800705793975062</v>
      </c>
      <c r="O14" s="26">
        <f t="shared" si="3"/>
        <v>0.99568798643651446</v>
      </c>
      <c r="Q14" s="29">
        <v>7.5</v>
      </c>
      <c r="R14" s="30">
        <v>5</v>
      </c>
    </row>
    <row r="15" spans="2:18">
      <c r="B15" s="27">
        <f>'sqr(meas)-cuadrado(med)'!B15</f>
        <v>6</v>
      </c>
      <c r="C15" s="17" t="str">
        <f>'sqr(meas)-cuadrado(med)'!C15</f>
        <v>Subscapular sf</v>
      </c>
      <c r="D15" s="24">
        <f t="shared" si="0"/>
        <v>19</v>
      </c>
      <c r="E15" s="24">
        <f t="shared" si="4"/>
        <v>20</v>
      </c>
      <c r="F15" s="24">
        <f t="shared" si="1"/>
        <v>39</v>
      </c>
      <c r="G15" s="25">
        <f>'sqr(sum)-cuadrado(sum)'!Y15/2-'sqr(sum)-cuadrado(sum)'!AA15/(20*2)</f>
        <v>1092.9000000000001</v>
      </c>
      <c r="H15" s="25">
        <f t="shared" si="5"/>
        <v>0.5</v>
      </c>
      <c r="I15" s="25">
        <f>'sqr(meas)-cuadrado(med)'!AS15-'sqr(sum)-cuadrado(sum)'!AA15/(20*2)</f>
        <v>1093.4000000000001</v>
      </c>
      <c r="J15" s="25">
        <f t="shared" si="6"/>
        <v>57.521052631578954</v>
      </c>
      <c r="K15" s="25">
        <f t="shared" si="6"/>
        <v>2.5000000000000001E-2</v>
      </c>
      <c r="L15" s="31"/>
      <c r="M15" s="26">
        <f t="shared" si="2"/>
        <v>0.15811388300841897</v>
      </c>
      <c r="N15" s="26">
        <f>100*M15/'sum(meas)-suma(med)'!AE15</f>
        <v>3.9040464940350361</v>
      </c>
      <c r="O15" s="26">
        <f t="shared" si="3"/>
        <v>0.99913113067337378</v>
      </c>
      <c r="Q15" s="29">
        <v>7.5</v>
      </c>
      <c r="R15" s="30">
        <v>5</v>
      </c>
    </row>
    <row r="16" spans="2:18">
      <c r="B16" s="27">
        <f>'sqr(meas)-cuadrado(med)'!B16</f>
        <v>7</v>
      </c>
      <c r="C16" s="17" t="str">
        <f>'sqr(meas)-cuadrado(med)'!C16</f>
        <v>Biceps sf</v>
      </c>
      <c r="D16" s="24">
        <f t="shared" si="0"/>
        <v>19</v>
      </c>
      <c r="E16" s="24">
        <f t="shared" si="4"/>
        <v>20</v>
      </c>
      <c r="F16" s="24">
        <f t="shared" si="1"/>
        <v>39</v>
      </c>
      <c r="G16" s="25">
        <f>'sqr(sum)-cuadrado(sum)'!Y16/2-'sqr(sum)-cuadrado(sum)'!AA16/(20*2)</f>
        <v>88.618750000000006</v>
      </c>
      <c r="H16" s="25">
        <f t="shared" si="5"/>
        <v>0.125</v>
      </c>
      <c r="I16" s="25">
        <f>'sqr(meas)-cuadrado(med)'!AS16-'sqr(sum)-cuadrado(sum)'!AA16/(20*2)</f>
        <v>88.743750000000006</v>
      </c>
      <c r="J16" s="25">
        <f t="shared" si="6"/>
        <v>4.6641447368421058</v>
      </c>
      <c r="K16" s="25">
        <f t="shared" si="6"/>
        <v>6.2500000000000003E-3</v>
      </c>
      <c r="L16" s="31"/>
      <c r="M16" s="26">
        <f t="shared" si="2"/>
        <v>7.9056941504209485E-2</v>
      </c>
      <c r="N16" s="26">
        <f>100*M16/'sum(meas)-suma(med)'!AE16</f>
        <v>7.1062419329626501</v>
      </c>
      <c r="O16" s="26">
        <f t="shared" si="3"/>
        <v>0.99732356669953526</v>
      </c>
      <c r="Q16" s="29">
        <v>7.5</v>
      </c>
      <c r="R16" s="30">
        <v>5</v>
      </c>
    </row>
    <row r="17" spans="2:18">
      <c r="B17" s="27">
        <f>'sqr(meas)-cuadrado(med)'!B17</f>
        <v>8</v>
      </c>
      <c r="C17" s="17" t="str">
        <f>'sqr(meas)-cuadrado(med)'!C17</f>
        <v>Iliac crest sf</v>
      </c>
      <c r="D17" s="24">
        <f t="shared" si="0"/>
        <v>19</v>
      </c>
      <c r="E17" s="24">
        <f t="shared" si="4"/>
        <v>20</v>
      </c>
      <c r="F17" s="24">
        <f t="shared" si="1"/>
        <v>39</v>
      </c>
      <c r="G17" s="25">
        <f>'sqr(sum)-cuadrado(sum)'!Y17/2-'sqr(sum)-cuadrado(sum)'!AA17/(20*2)</f>
        <v>4431.875</v>
      </c>
      <c r="H17" s="25">
        <f t="shared" si="5"/>
        <v>5</v>
      </c>
      <c r="I17" s="25">
        <f>'sqr(meas)-cuadrado(med)'!AS17-'sqr(sum)-cuadrado(sum)'!AA17/(20*2)</f>
        <v>4436.875</v>
      </c>
      <c r="J17" s="25">
        <f t="shared" si="6"/>
        <v>233.25657894736841</v>
      </c>
      <c r="K17" s="25">
        <f t="shared" si="6"/>
        <v>0.25</v>
      </c>
      <c r="L17" s="31"/>
      <c r="M17" s="26">
        <f t="shared" si="2"/>
        <v>0.5</v>
      </c>
      <c r="N17" s="26">
        <f>100*M17/'sum(meas)-suma(med)'!AE17</f>
        <v>5.9701492537313436</v>
      </c>
      <c r="O17" s="26">
        <f t="shared" si="3"/>
        <v>0.99785873270785785</v>
      </c>
      <c r="Q17" s="29">
        <v>7.5</v>
      </c>
      <c r="R17" s="30">
        <v>5</v>
      </c>
    </row>
    <row r="18" spans="2:18">
      <c r="B18" s="27">
        <f>'sqr(meas)-cuadrado(med)'!B18</f>
        <v>9</v>
      </c>
      <c r="C18" s="17" t="str">
        <f>'sqr(meas)-cuadrado(med)'!C18</f>
        <v>Supraspinale sf</v>
      </c>
      <c r="D18" s="24">
        <f t="shared" si="0"/>
        <v>19</v>
      </c>
      <c r="E18" s="24">
        <f t="shared" si="4"/>
        <v>20</v>
      </c>
      <c r="F18" s="24">
        <f t="shared" si="1"/>
        <v>39</v>
      </c>
      <c r="G18" s="25">
        <f>'sqr(sum)-cuadrado(sum)'!Y18/2-'sqr(sum)-cuadrado(sum)'!AA18/(20*2)</f>
        <v>693.56875000000002</v>
      </c>
      <c r="H18" s="25">
        <f t="shared" si="5"/>
        <v>0.125</v>
      </c>
      <c r="I18" s="25">
        <f>'sqr(meas)-cuadrado(med)'!AS18-'sqr(sum)-cuadrado(sum)'!AA18/(20*2)</f>
        <v>693.69375000000002</v>
      </c>
      <c r="J18" s="25">
        <f t="shared" si="6"/>
        <v>36.503618421052636</v>
      </c>
      <c r="K18" s="25">
        <f t="shared" si="6"/>
        <v>6.2500000000000003E-3</v>
      </c>
      <c r="L18" s="31"/>
      <c r="M18" s="26">
        <f t="shared" si="2"/>
        <v>7.9056941504209485E-2</v>
      </c>
      <c r="N18" s="26">
        <f>100*M18/'sum(meas)-suma(med)'!AE18</f>
        <v>2.2832329676305987</v>
      </c>
      <c r="O18" s="26">
        <f t="shared" si="3"/>
        <v>0.99965762681322634</v>
      </c>
      <c r="Q18" s="29">
        <v>7.5</v>
      </c>
      <c r="R18" s="30">
        <v>5</v>
      </c>
    </row>
    <row r="19" spans="2:18">
      <c r="B19" s="27">
        <f>'sqr(meas)-cuadrado(med)'!B19</f>
        <v>10</v>
      </c>
      <c r="C19" s="17" t="str">
        <f>'sqr(meas)-cuadrado(med)'!C19</f>
        <v>Abdominal sf</v>
      </c>
      <c r="D19" s="24">
        <f t="shared" si="0"/>
        <v>19</v>
      </c>
      <c r="E19" s="24">
        <f t="shared" si="4"/>
        <v>20</v>
      </c>
      <c r="F19" s="24">
        <f t="shared" si="1"/>
        <v>39</v>
      </c>
      <c r="G19" s="25">
        <f>'sqr(sum)-cuadrado(sum)'!Y19/2-'sqr(sum)-cuadrado(sum)'!AA19/(20*2)</f>
        <v>2984.4749999999999</v>
      </c>
      <c r="H19" s="25">
        <f t="shared" si="5"/>
        <v>2</v>
      </c>
      <c r="I19" s="25">
        <f>'sqr(meas)-cuadrado(med)'!AS19-'sqr(sum)-cuadrado(sum)'!AA19/(20*2)</f>
        <v>2986.4749999999999</v>
      </c>
      <c r="J19" s="25">
        <f t="shared" si="6"/>
        <v>157.07763157894738</v>
      </c>
      <c r="K19" s="25">
        <f t="shared" si="6"/>
        <v>0.1</v>
      </c>
      <c r="L19" s="31"/>
      <c r="M19" s="26">
        <f t="shared" si="2"/>
        <v>0.31622776601683794</v>
      </c>
      <c r="N19" s="26">
        <f>100*M19/'sum(meas)-suma(med)'!AE19</f>
        <v>5.5236291007307941</v>
      </c>
      <c r="O19" s="26">
        <f t="shared" si="3"/>
        <v>0.99872755430915416</v>
      </c>
      <c r="Q19" s="29">
        <v>7.5</v>
      </c>
      <c r="R19" s="30">
        <v>5</v>
      </c>
    </row>
    <row r="20" spans="2:18">
      <c r="B20" s="27">
        <f>'sqr(meas)-cuadrado(med)'!B20</f>
        <v>11</v>
      </c>
      <c r="C20" s="17" t="str">
        <f>'sqr(meas)-cuadrado(med)'!C20</f>
        <v>Thigh sf</v>
      </c>
      <c r="D20" s="24">
        <f t="shared" si="0"/>
        <v>19</v>
      </c>
      <c r="E20" s="24">
        <f t="shared" ref="E20:E25" si="7">F20-D20</f>
        <v>20</v>
      </c>
      <c r="F20" s="24">
        <f t="shared" si="1"/>
        <v>39</v>
      </c>
      <c r="G20" s="25">
        <f>'sqr(sum)-cuadrado(sum)'!Y20/2-'sqr(sum)-cuadrado(sum)'!AA20/(20*2)</f>
        <v>1212.5999999999999</v>
      </c>
      <c r="H20" s="25">
        <f t="shared" ref="H20:H26" si="8">I20-G20</f>
        <v>4.5</v>
      </c>
      <c r="I20" s="25">
        <f>'sqr(meas)-cuadrado(med)'!AS20-'sqr(sum)-cuadrado(sum)'!AA20/(20*2)</f>
        <v>1217.0999999999999</v>
      </c>
      <c r="J20" s="25">
        <f t="shared" ref="J20:K24" si="9">G20/D20</f>
        <v>63.821052631578944</v>
      </c>
      <c r="K20" s="25">
        <f t="shared" si="9"/>
        <v>0.22500000000000001</v>
      </c>
      <c r="L20" s="31"/>
      <c r="M20" s="26">
        <f t="shared" si="2"/>
        <v>0.47434164902525688</v>
      </c>
      <c r="N20" s="26">
        <f>100*M20/'sum(meas)-suma(med)'!AE20</f>
        <v>10.780492023301292</v>
      </c>
      <c r="O20" s="26">
        <f t="shared" si="3"/>
        <v>0.99297380585516171</v>
      </c>
      <c r="Q20" s="29">
        <v>7.5</v>
      </c>
      <c r="R20" s="30">
        <v>5</v>
      </c>
    </row>
    <row r="21" spans="2:18">
      <c r="B21" s="27">
        <f>'sqr(meas)-cuadrado(med)'!B21</f>
        <v>12</v>
      </c>
      <c r="C21" s="17" t="str">
        <f>'sqr(meas)-cuadrado(med)'!C21</f>
        <v>Calf sf</v>
      </c>
      <c r="D21" s="24">
        <f t="shared" si="0"/>
        <v>19</v>
      </c>
      <c r="E21" s="24">
        <f t="shared" si="7"/>
        <v>20</v>
      </c>
      <c r="F21" s="24">
        <f t="shared" si="1"/>
        <v>39</v>
      </c>
      <c r="G21" s="25">
        <f>'sqr(sum)-cuadrado(sum)'!Y21/2-'sqr(sum)-cuadrado(sum)'!AA21/(20*2)</f>
        <v>337.1</v>
      </c>
      <c r="H21" s="25">
        <f t="shared" si="8"/>
        <v>2</v>
      </c>
      <c r="I21" s="25">
        <f>'sqr(meas)-cuadrado(med)'!AS21-'sqr(sum)-cuadrado(sum)'!AA21/(20*2)</f>
        <v>339.1</v>
      </c>
      <c r="J21" s="25">
        <f t="shared" si="9"/>
        <v>17.742105263157896</v>
      </c>
      <c r="K21" s="25">
        <f t="shared" si="9"/>
        <v>0.1</v>
      </c>
      <c r="L21" s="31"/>
      <c r="M21" s="26">
        <f t="shared" si="2"/>
        <v>0.31622776601683794</v>
      </c>
      <c r="N21" s="26">
        <f>100*M21/'sum(meas)-suma(med)'!AE21</f>
        <v>13.456500681567571</v>
      </c>
      <c r="O21" s="26">
        <f t="shared" si="3"/>
        <v>0.98879056047197622</v>
      </c>
      <c r="Q21" s="29">
        <v>7.5</v>
      </c>
      <c r="R21" s="30">
        <v>5</v>
      </c>
    </row>
    <row r="22" spans="2:18">
      <c r="B22" s="27">
        <f>'sqr(meas)-cuadrado(med)'!B22</f>
        <v>13</v>
      </c>
      <c r="C22" s="17" t="str">
        <f>'sqr(meas)-cuadrado(med)'!C22</f>
        <v>Arm girth relaxed</v>
      </c>
      <c r="D22" s="24">
        <f t="shared" si="0"/>
        <v>19</v>
      </c>
      <c r="E22" s="24">
        <f t="shared" si="7"/>
        <v>20</v>
      </c>
      <c r="F22" s="24">
        <f t="shared" si="1"/>
        <v>39</v>
      </c>
      <c r="G22" s="25">
        <f>'sqr(sum)-cuadrado(sum)'!Y22/2-'sqr(sum)-cuadrado(sum)'!AA22/(20*2)</f>
        <v>10732.809999999998</v>
      </c>
      <c r="H22" s="25">
        <f t="shared" si="8"/>
        <v>0.13000000000101863</v>
      </c>
      <c r="I22" s="25">
        <f>'sqr(meas)-cuadrado(med)'!AS22-'sqr(sum)-cuadrado(sum)'!AA22/(20*2)</f>
        <v>10732.939999999999</v>
      </c>
      <c r="J22" s="25">
        <f t="shared" si="9"/>
        <v>564.8847368421051</v>
      </c>
      <c r="K22" s="25">
        <f t="shared" si="9"/>
        <v>6.5000000000509321E-3</v>
      </c>
      <c r="L22" s="31"/>
      <c r="M22" s="26">
        <f t="shared" si="2"/>
        <v>8.0622577483301358E-2</v>
      </c>
      <c r="N22" s="26">
        <f>100*M22/'sum(meas)-suma(med)'!AE22</f>
        <v>0.6084722828928405</v>
      </c>
      <c r="O22" s="26">
        <f t="shared" si="3"/>
        <v>0.99997698672035906</v>
      </c>
      <c r="Q22" s="29">
        <v>1.5</v>
      </c>
      <c r="R22" s="30">
        <v>1</v>
      </c>
    </row>
    <row r="23" spans="2:18">
      <c r="B23" s="27">
        <f>'sqr(meas)-cuadrado(med)'!B23</f>
        <v>14</v>
      </c>
      <c r="C23" s="17" t="str">
        <f>'sqr(meas)-cuadrado(med)'!C23</f>
        <v>Arm girth flexed and tensed</v>
      </c>
      <c r="D23" s="24">
        <f t="shared" si="0"/>
        <v>19</v>
      </c>
      <c r="E23" s="24">
        <f t="shared" si="7"/>
        <v>20</v>
      </c>
      <c r="F23" s="24">
        <f t="shared" si="1"/>
        <v>39</v>
      </c>
      <c r="G23" s="25">
        <f>'sqr(sum)-cuadrado(sum)'!Y23/2-'sqr(sum)-cuadrado(sum)'!AA23/(20*2)</f>
        <v>12899.855687499998</v>
      </c>
      <c r="H23" s="25">
        <f t="shared" si="8"/>
        <v>6.2499999985448085E-3</v>
      </c>
      <c r="I23" s="25">
        <f>'sqr(meas)-cuadrado(med)'!AS23-'sqr(sum)-cuadrado(sum)'!AA23/(20*2)</f>
        <v>12899.861937499996</v>
      </c>
      <c r="J23" s="25">
        <f t="shared" si="9"/>
        <v>678.93977302631572</v>
      </c>
      <c r="K23" s="25">
        <f t="shared" si="9"/>
        <v>3.1249999992724045E-4</v>
      </c>
      <c r="L23" s="31"/>
      <c r="M23" s="26">
        <f t="shared" si="2"/>
        <v>1.7677669527605737E-2</v>
      </c>
      <c r="N23" s="26">
        <f>100*M23/'sum(meas)-suma(med)'!AE23</f>
        <v>0.12194650014731905</v>
      </c>
      <c r="O23" s="26">
        <f t="shared" si="3"/>
        <v>0.99999907944749</v>
      </c>
      <c r="Q23" s="29">
        <v>1.5</v>
      </c>
      <c r="R23" s="30">
        <v>1</v>
      </c>
    </row>
    <row r="24" spans="2:18">
      <c r="B24" s="27">
        <f>'sqr(meas)-cuadrado(med)'!B24</f>
        <v>15</v>
      </c>
      <c r="C24" s="17" t="str">
        <f>'sqr(meas)-cuadrado(med)'!C24</f>
        <v>Waist girth</v>
      </c>
      <c r="D24" s="24">
        <f t="shared" si="0"/>
        <v>19</v>
      </c>
      <c r="E24" s="24">
        <f t="shared" si="7"/>
        <v>20</v>
      </c>
      <c r="F24" s="24">
        <f t="shared" si="1"/>
        <v>39</v>
      </c>
      <c r="G24" s="25">
        <f>'sqr(sum)-cuadrado(sum)'!Y24/2-'sqr(sum)-cuadrado(sum)'!AA24/(20*2)</f>
        <v>58165.818749999999</v>
      </c>
      <c r="H24" s="25">
        <f t="shared" si="8"/>
        <v>0.50500000000465661</v>
      </c>
      <c r="I24" s="25">
        <f>'sqr(meas)-cuadrado(med)'!AS24-'sqr(sum)-cuadrado(sum)'!AA24/(20*2)</f>
        <v>58166.323750000003</v>
      </c>
      <c r="J24" s="25">
        <f t="shared" si="9"/>
        <v>3061.3588815789471</v>
      </c>
      <c r="K24" s="25">
        <f t="shared" si="9"/>
        <v>2.5250000000232829E-2</v>
      </c>
      <c r="L24" s="31"/>
      <c r="M24" s="26">
        <f t="shared" si="2"/>
        <v>0.15890248582143965</v>
      </c>
      <c r="N24" s="26">
        <f>100*M24/'sum(meas)-suma(med)'!AE24</f>
        <v>0.46344144607054943</v>
      </c>
      <c r="O24" s="26">
        <f t="shared" si="3"/>
        <v>0.99998350419358373</v>
      </c>
      <c r="Q24" s="29">
        <v>1.5</v>
      </c>
      <c r="R24" s="30">
        <v>1</v>
      </c>
    </row>
    <row r="25" spans="2:18">
      <c r="B25" s="27">
        <f>'sqr(meas)-cuadrado(med)'!B25</f>
        <v>16</v>
      </c>
      <c r="C25" s="17" t="str">
        <f>'sqr(meas)-cuadrado(med)'!C25</f>
        <v>Hips girth</v>
      </c>
      <c r="D25" s="24">
        <f t="shared" si="0"/>
        <v>19</v>
      </c>
      <c r="E25" s="24">
        <f t="shared" si="7"/>
        <v>20</v>
      </c>
      <c r="F25" s="24">
        <f t="shared" si="1"/>
        <v>39</v>
      </c>
      <c r="G25" s="25">
        <f>'sqr(sum)-cuadrado(sum)'!Y25/2-'sqr(sum)-cuadrado(sum)'!AA25/(20*2)</f>
        <v>85804.611000000004</v>
      </c>
      <c r="H25" s="25">
        <f t="shared" si="8"/>
        <v>2.2600000000093132</v>
      </c>
      <c r="I25" s="25">
        <f>'sqr(meas)-cuadrado(med)'!AS25-'sqr(sum)-cuadrado(sum)'!AA25/(20*2)</f>
        <v>85806.871000000014</v>
      </c>
      <c r="J25" s="25">
        <f t="shared" ref="J25:K30" si="10">G25/D25</f>
        <v>4516.0321578947369</v>
      </c>
      <c r="K25" s="25">
        <f t="shared" si="10"/>
        <v>0.11300000000046566</v>
      </c>
      <c r="L25" s="31"/>
      <c r="M25" s="26">
        <f t="shared" si="2"/>
        <v>0.33615472628012483</v>
      </c>
      <c r="N25" s="26">
        <f>100*M25/'sum(meas)-suma(med)'!AE25</f>
        <v>0.80294930438343459</v>
      </c>
      <c r="O25" s="26">
        <f t="shared" si="3"/>
        <v>0.99994995732154324</v>
      </c>
      <c r="Q25" s="29">
        <v>1.5</v>
      </c>
      <c r="R25" s="30">
        <v>1</v>
      </c>
    </row>
    <row r="26" spans="2:18">
      <c r="B26" s="27">
        <f>'sqr(meas)-cuadrado(med)'!B26</f>
        <v>17</v>
      </c>
      <c r="C26" s="17" t="str">
        <f>'sqr(meas)-cuadrado(med)'!C26</f>
        <v>Thigh middle girth</v>
      </c>
      <c r="D26" s="24">
        <f t="shared" si="0"/>
        <v>19</v>
      </c>
      <c r="E26" s="24">
        <f>F26-D26</f>
        <v>20</v>
      </c>
      <c r="F26" s="24">
        <f t="shared" si="1"/>
        <v>39</v>
      </c>
      <c r="G26" s="25">
        <f>'sqr(sum)-cuadrado(sum)'!Y26/2-'sqr(sum)-cuadrado(sum)'!AA26/(20*2)</f>
        <v>26831.365999999995</v>
      </c>
      <c r="H26" s="25">
        <f t="shared" si="8"/>
        <v>1.1300000000046566</v>
      </c>
      <c r="I26" s="25">
        <f>'sqr(meas)-cuadrado(med)'!AS26-'sqr(sum)-cuadrado(sum)'!AA26/(20*2)</f>
        <v>26832.495999999999</v>
      </c>
      <c r="J26" s="25">
        <f t="shared" si="10"/>
        <v>1412.1771578947366</v>
      </c>
      <c r="K26" s="25">
        <f t="shared" si="10"/>
        <v>5.6500000000232829E-2</v>
      </c>
      <c r="L26" s="31"/>
      <c r="M26" s="26">
        <f t="shared" si="2"/>
        <v>0.23769728648058402</v>
      </c>
      <c r="N26" s="26">
        <f>100*M26/'sum(meas)-suma(med)'!AE26</f>
        <v>1.1297399547556277</v>
      </c>
      <c r="O26" s="26">
        <f t="shared" si="3"/>
        <v>0.99991998491229228</v>
      </c>
      <c r="Q26" s="29">
        <v>1.5</v>
      </c>
      <c r="R26" s="30">
        <v>1</v>
      </c>
    </row>
    <row r="27" spans="2:18">
      <c r="B27" s="27">
        <f>'sqr(meas)-cuadrado(med)'!B27</f>
        <v>18</v>
      </c>
      <c r="C27" s="17" t="str">
        <f>'sqr(meas)-cuadrado(med)'!C27</f>
        <v>Calf girth</v>
      </c>
      <c r="D27" s="24">
        <f t="shared" si="0"/>
        <v>19</v>
      </c>
      <c r="E27" s="24">
        <f>F27-D27</f>
        <v>20</v>
      </c>
      <c r="F27" s="24">
        <f t="shared" si="1"/>
        <v>39</v>
      </c>
      <c r="G27" s="25">
        <f>'sqr(sum)-cuadrado(sum)'!Y27/2-'sqr(sum)-cuadrado(sum)'!AA27/(20*2)</f>
        <v>12128.21875</v>
      </c>
      <c r="H27" s="25">
        <f>I27-G27</f>
        <v>0.125</v>
      </c>
      <c r="I27" s="25">
        <f>'sqr(meas)-cuadrado(med)'!AS27-'sqr(sum)-cuadrado(sum)'!AA27/(20*2)</f>
        <v>12128.34375</v>
      </c>
      <c r="J27" s="25">
        <f t="shared" si="10"/>
        <v>638.32730263157896</v>
      </c>
      <c r="K27" s="25">
        <f t="shared" si="10"/>
        <v>6.2500000000000003E-3</v>
      </c>
      <c r="M27" s="26">
        <f t="shared" si="2"/>
        <v>7.9056941504209485E-2</v>
      </c>
      <c r="N27" s="26">
        <f>100*M27/'sum(meas)-suma(med)'!AE27</f>
        <v>0.55722954364200517</v>
      </c>
      <c r="O27" s="26">
        <f t="shared" si="3"/>
        <v>0.99998041776129654</v>
      </c>
      <c r="Q27" s="29">
        <v>1.5</v>
      </c>
      <c r="R27" s="30">
        <v>1</v>
      </c>
    </row>
    <row r="28" spans="2:18">
      <c r="B28" s="27">
        <f>'sqr(meas)-cuadrado(med)'!B28</f>
        <v>19</v>
      </c>
      <c r="C28" s="17" t="str">
        <f>'sqr(meas)-cuadrado(med)'!C28</f>
        <v>Humerus breadth</v>
      </c>
      <c r="D28" s="24">
        <f t="shared" si="0"/>
        <v>19</v>
      </c>
      <c r="E28" s="24">
        <f>F28-D28</f>
        <v>20</v>
      </c>
      <c r="F28" s="24">
        <f t="shared" si="1"/>
        <v>39</v>
      </c>
      <c r="G28" s="25">
        <f>'sqr(sum)-cuadrado(sum)'!Y28/2-'sqr(sum)-cuadrado(sum)'!AA28/(20*2)</f>
        <v>424.7709999999999</v>
      </c>
      <c r="H28" s="25">
        <f>I28-G28</f>
        <v>0</v>
      </c>
      <c r="I28" s="25">
        <f>'sqr(meas)-cuadrado(med)'!AS28-'sqr(sum)-cuadrado(sum)'!AA28/(20*2)</f>
        <v>424.77100000000002</v>
      </c>
      <c r="J28" s="25">
        <f t="shared" si="10"/>
        <v>22.356368421052625</v>
      </c>
      <c r="K28" s="25">
        <f t="shared" si="10"/>
        <v>0</v>
      </c>
      <c r="M28" s="26">
        <f t="shared" si="2"/>
        <v>0</v>
      </c>
      <c r="N28" s="26">
        <f>100*M28/'sum(meas)-suma(med)'!AE28</f>
        <v>0</v>
      </c>
      <c r="O28" s="26">
        <f t="shared" si="3"/>
        <v>1</v>
      </c>
      <c r="Q28" s="29">
        <v>1.5</v>
      </c>
      <c r="R28" s="30">
        <v>1</v>
      </c>
    </row>
    <row r="29" spans="2:18">
      <c r="B29" s="27">
        <f>'sqr(meas)-cuadrado(med)'!B29</f>
        <v>20</v>
      </c>
      <c r="C29" s="17" t="str">
        <f>'sqr(meas)-cuadrado(med)'!C29</f>
        <v>Bi-styloid breadth</v>
      </c>
      <c r="D29" s="24">
        <f t="shared" si="0"/>
        <v>19</v>
      </c>
      <c r="E29" s="24">
        <f>F29-D29</f>
        <v>20</v>
      </c>
      <c r="F29" s="24">
        <f t="shared" si="1"/>
        <v>39</v>
      </c>
      <c r="G29" s="25">
        <f>'sqr(sum)-cuadrado(sum)'!Y29/2-'sqr(sum)-cuadrado(sum)'!AA29/(20*2)</f>
        <v>293.39499999999998</v>
      </c>
      <c r="H29" s="25">
        <f>I29-G29</f>
        <v>0</v>
      </c>
      <c r="I29" s="25">
        <f>'sqr(meas)-cuadrado(med)'!AS29-'sqr(sum)-cuadrado(sum)'!AA29/(20*2)</f>
        <v>293.3950000000001</v>
      </c>
      <c r="J29" s="25">
        <f t="shared" si="10"/>
        <v>15.441842105263158</v>
      </c>
      <c r="K29" s="25">
        <f t="shared" si="10"/>
        <v>0</v>
      </c>
      <c r="M29" s="26">
        <f t="shared" si="2"/>
        <v>0</v>
      </c>
      <c r="N29" s="26">
        <f>100*M29/'sum(meas)-suma(med)'!AE29</f>
        <v>0</v>
      </c>
      <c r="O29" s="26">
        <f t="shared" si="3"/>
        <v>1</v>
      </c>
      <c r="Q29" s="29">
        <v>1.5</v>
      </c>
      <c r="R29" s="30">
        <v>1</v>
      </c>
    </row>
    <row r="30" spans="2:18">
      <c r="B30" s="27">
        <f>'sqr(meas)-cuadrado(med)'!B30</f>
        <v>21</v>
      </c>
      <c r="C30" s="17" t="str">
        <f>'sqr(meas)-cuadrado(med)'!C30</f>
        <v>Femur breadth</v>
      </c>
      <c r="D30" s="24">
        <f t="shared" si="0"/>
        <v>19</v>
      </c>
      <c r="E30" s="24">
        <f>F30-D30</f>
        <v>20</v>
      </c>
      <c r="F30" s="24">
        <f t="shared" si="1"/>
        <v>39</v>
      </c>
      <c r="G30" s="25">
        <f>'sqr(sum)-cuadrado(sum)'!Y30/2-'sqr(sum)-cuadrado(sum)'!AA30/(20*2)</f>
        <v>869.57100000000003</v>
      </c>
      <c r="H30" s="25">
        <f>I30-G30</f>
        <v>0</v>
      </c>
      <c r="I30" s="25">
        <f>'sqr(meas)-cuadrado(med)'!AS30-'sqr(sum)-cuadrado(sum)'!AA30/(20*2)</f>
        <v>869.57100000000003</v>
      </c>
      <c r="J30" s="25">
        <f t="shared" si="10"/>
        <v>45.766894736842104</v>
      </c>
      <c r="K30" s="25">
        <f t="shared" si="10"/>
        <v>0</v>
      </c>
      <c r="M30" s="26">
        <f t="shared" si="2"/>
        <v>0</v>
      </c>
      <c r="N30" s="26">
        <f>100*M30/'sum(meas)-suma(med)'!AE30</f>
        <v>0</v>
      </c>
      <c r="O30" s="26">
        <f t="shared" si="3"/>
        <v>1</v>
      </c>
      <c r="Q30" s="29">
        <v>1.5</v>
      </c>
      <c r="R30" s="30">
        <v>1</v>
      </c>
    </row>
  </sheetData>
  <mergeCells count="6">
    <mergeCell ref="O7:O8"/>
    <mergeCell ref="Q7:R7"/>
    <mergeCell ref="D7:F7"/>
    <mergeCell ref="G7:I7"/>
    <mergeCell ref="J7:K7"/>
    <mergeCell ref="M7:N7"/>
  </mergeCells>
  <phoneticPr fontId="9" type="noConversion"/>
  <pageMargins left="0" right="0" top="1" bottom="1" header="0.5" footer="0.5"/>
  <pageSetup paperSize="9"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L41"/>
  <sheetViews>
    <sheetView zoomScale="125" zoomScaleNormal="100" workbookViewId="0">
      <selection activeCell="O21" sqref="O21"/>
    </sheetView>
  </sheetViews>
  <sheetFormatPr baseColWidth="10" defaultColWidth="9.109375" defaultRowHeight="13.2"/>
  <cols>
    <col min="1" max="1" width="2.88671875" style="2" customWidth="1"/>
    <col min="2" max="2" width="10" style="2" customWidth="1"/>
    <col min="3" max="11" width="9.109375" style="2" customWidth="1"/>
    <col min="12" max="12" width="4.6640625" style="2" customWidth="1"/>
    <col min="13" max="16384" width="9.109375" style="2"/>
  </cols>
  <sheetData>
    <row r="2" spans="2:12" ht="13.8" thickBot="1"/>
    <row r="3" spans="2:12" ht="16.8" thickTop="1" thickBot="1">
      <c r="B3" s="293" t="str">
        <f>IF(Info!D34=1,"MEASUREMENT ERROR GRAPH", "GRÁFICO DE ERROR DE MEDIDA")</f>
        <v>MEASUREMENT ERROR GRAPH</v>
      </c>
      <c r="C3" s="293"/>
      <c r="D3" s="293"/>
      <c r="E3" s="293"/>
      <c r="F3" s="293"/>
      <c r="G3" s="293"/>
      <c r="H3" s="293"/>
      <c r="I3" s="293"/>
      <c r="J3" s="293"/>
    </row>
    <row r="4" spans="2:12" ht="13.8" thickTop="1"/>
    <row r="7" spans="2:12">
      <c r="C7" s="17"/>
      <c r="D7" s="17"/>
      <c r="E7" s="17"/>
      <c r="F7" s="17"/>
      <c r="G7" s="17"/>
      <c r="H7" s="17"/>
      <c r="I7" s="17"/>
      <c r="J7" s="17"/>
      <c r="K7" s="17"/>
      <c r="L7" s="17"/>
    </row>
    <row r="8" spans="2:12">
      <c r="C8" s="17"/>
      <c r="D8" s="17"/>
      <c r="E8" s="17"/>
      <c r="F8" s="17"/>
      <c r="G8" s="17"/>
      <c r="H8" s="17"/>
      <c r="I8" s="17"/>
      <c r="J8" s="17"/>
      <c r="K8" s="17"/>
      <c r="L8" s="17"/>
    </row>
    <row r="9" spans="2:12">
      <c r="C9" s="291"/>
      <c r="D9" s="291"/>
      <c r="E9" s="291"/>
      <c r="F9" s="292"/>
      <c r="G9" s="292"/>
      <c r="H9" s="292"/>
      <c r="I9" s="292"/>
      <c r="J9" s="292"/>
      <c r="K9" s="292"/>
      <c r="L9" s="292"/>
    </row>
    <row r="10" spans="2:12">
      <c r="C10" s="292"/>
      <c r="D10" s="292"/>
      <c r="E10" s="292"/>
      <c r="F10" s="292"/>
      <c r="G10" s="292"/>
      <c r="H10" s="292"/>
      <c r="I10" s="292"/>
      <c r="J10" s="292"/>
      <c r="K10" s="292"/>
      <c r="L10" s="292"/>
    </row>
    <row r="11" spans="2:12">
      <c r="C11" s="17"/>
      <c r="D11" s="17"/>
      <c r="E11" s="17"/>
      <c r="F11" s="17"/>
      <c r="G11" s="17"/>
      <c r="H11" s="17"/>
      <c r="I11" s="17"/>
      <c r="J11" s="17"/>
      <c r="K11" s="17"/>
      <c r="L11" s="17"/>
    </row>
    <row r="12" spans="2:12">
      <c r="C12" s="17"/>
      <c r="D12" s="17"/>
      <c r="E12" s="17"/>
      <c r="F12" s="17"/>
      <c r="G12" s="17"/>
      <c r="H12" s="17"/>
      <c r="I12" s="17"/>
      <c r="J12" s="17"/>
      <c r="K12" s="17"/>
      <c r="L12" s="17"/>
    </row>
    <row r="13" spans="2:12">
      <c r="C13" s="17"/>
      <c r="D13" s="17"/>
      <c r="E13" s="17"/>
      <c r="F13" s="17"/>
      <c r="G13" s="17"/>
      <c r="H13" s="17"/>
      <c r="I13" s="17"/>
      <c r="J13" s="17"/>
      <c r="K13" s="17"/>
      <c r="L13" s="17"/>
    </row>
    <row r="14" spans="2:12">
      <c r="C14" s="17"/>
      <c r="D14" s="17"/>
      <c r="E14" s="17"/>
      <c r="F14" s="17"/>
      <c r="G14" s="17"/>
      <c r="H14" s="17"/>
      <c r="I14" s="17"/>
      <c r="J14" s="17"/>
      <c r="K14" s="17"/>
      <c r="L14" s="17"/>
    </row>
    <row r="15" spans="2:12">
      <c r="C15" s="291"/>
      <c r="D15" s="291"/>
      <c r="E15" s="291"/>
      <c r="F15" s="292"/>
      <c r="G15" s="292"/>
      <c r="H15" s="292"/>
      <c r="I15" s="292"/>
      <c r="J15" s="292"/>
      <c r="K15" s="292"/>
      <c r="L15" s="292"/>
    </row>
    <row r="16" spans="2:12">
      <c r="C16" s="292"/>
      <c r="D16" s="292"/>
      <c r="E16" s="292"/>
      <c r="F16" s="292"/>
      <c r="G16" s="292"/>
      <c r="H16" s="292"/>
      <c r="I16" s="292"/>
      <c r="J16" s="292"/>
      <c r="K16" s="292"/>
      <c r="L16" s="292"/>
    </row>
    <row r="17" spans="3:12">
      <c r="C17" s="17"/>
      <c r="D17" s="17"/>
      <c r="E17" s="17"/>
      <c r="F17" s="17"/>
      <c r="G17" s="17"/>
      <c r="H17" s="17"/>
      <c r="I17" s="17"/>
      <c r="J17" s="17"/>
      <c r="K17" s="17"/>
      <c r="L17" s="17"/>
    </row>
    <row r="18" spans="3:12">
      <c r="C18" s="17"/>
      <c r="D18" s="17"/>
      <c r="E18" s="17"/>
      <c r="F18" s="17"/>
      <c r="G18" s="17"/>
      <c r="H18" s="17"/>
      <c r="I18" s="17"/>
      <c r="J18" s="17"/>
      <c r="K18" s="17"/>
      <c r="L18" s="17"/>
    </row>
    <row r="19" spans="3:12">
      <c r="C19" s="17"/>
      <c r="D19" s="17"/>
      <c r="E19" s="17"/>
      <c r="F19" s="17"/>
      <c r="G19" s="17"/>
      <c r="H19" s="17"/>
      <c r="I19" s="17"/>
      <c r="J19" s="17"/>
      <c r="K19" s="17"/>
      <c r="L19" s="17"/>
    </row>
    <row r="40" spans="2:2">
      <c r="B40" s="92" t="str">
        <f>IF(Info!$D$34=1,"Measured", "Medida")</f>
        <v>Measured</v>
      </c>
    </row>
    <row r="41" spans="2:2">
      <c r="B41" s="92" t="str">
        <f>IF(Info!$D$34=1,"Target", "Objetivo")</f>
        <v>Target</v>
      </c>
    </row>
  </sheetData>
  <sheetProtection password="DD13" sheet="1" objects="1" scenarios="1"/>
  <mergeCells count="3">
    <mergeCell ref="C9:L10"/>
    <mergeCell ref="C15:L16"/>
    <mergeCell ref="B3:J3"/>
  </mergeCells>
  <phoneticPr fontId="9" type="noConversion"/>
  <pageMargins left="0" right="0" top="1" bottom="1" header="0.5" footer="0.5"/>
  <pageSetup paperSize="9" scale="80" orientation="portrait"/>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4:I29"/>
  <sheetViews>
    <sheetView zoomScale="92" zoomScaleNormal="18" workbookViewId="0">
      <selection activeCell="E7" sqref="E7"/>
    </sheetView>
  </sheetViews>
  <sheetFormatPr baseColWidth="10" defaultColWidth="8.88671875" defaultRowHeight="13.2"/>
  <cols>
    <col min="1" max="1" width="11.44140625" customWidth="1"/>
    <col min="2" max="2" width="9.6640625" bestFit="1" customWidth="1"/>
    <col min="3" max="5" width="22.109375" bestFit="1" customWidth="1"/>
    <col min="6" max="6" width="24.44140625" customWidth="1"/>
    <col min="7" max="7" width="25.109375" customWidth="1"/>
    <col min="8" max="9" width="28" bestFit="1" customWidth="1"/>
    <col min="10" max="256" width="11.44140625" customWidth="1"/>
  </cols>
  <sheetData>
    <row r="4" spans="2:9" ht="24.6">
      <c r="B4" s="97"/>
      <c r="C4" s="294" t="str">
        <f>IF(Info!D34=1,"STATISTICAL SUMARY","RESUMEN ESTADÍSTICO")</f>
        <v>STATISTICAL SUMARY</v>
      </c>
      <c r="D4" s="294"/>
      <c r="E4" s="294"/>
      <c r="F4" s="294"/>
      <c r="G4" s="97"/>
      <c r="H4" s="99" t="s">
        <v>34</v>
      </c>
      <c r="I4" s="99">
        <v>21</v>
      </c>
    </row>
    <row r="5" spans="2:9">
      <c r="B5" s="97"/>
      <c r="C5" s="97"/>
      <c r="D5" s="97"/>
      <c r="E5" s="97"/>
      <c r="F5" s="97"/>
      <c r="G5" s="97"/>
      <c r="H5" s="97"/>
      <c r="I5" s="97"/>
    </row>
    <row r="6" spans="2:9">
      <c r="B6" s="97"/>
      <c r="C6" s="97"/>
      <c r="D6" s="97"/>
      <c r="E6" s="97"/>
      <c r="F6" s="97"/>
      <c r="G6" s="97"/>
      <c r="H6" s="97"/>
      <c r="I6" s="97"/>
    </row>
    <row r="7" spans="2:9">
      <c r="B7" s="98" t="str">
        <f>IF(Info!D34=1,"SUBJECT","SUJETO")</f>
        <v>SUBJECT</v>
      </c>
      <c r="C7" s="98" t="str">
        <f>IF(Info!D34=1,"1ª Vs 2ª same measure","1ª Vs 2ª medición idéntica")</f>
        <v>1ª Vs 2ª same measure</v>
      </c>
      <c r="D7" s="98" t="str">
        <f>IF(Info!D34=1,"1ª Vs 3ª same measure","1ª Vs 3ª medición idéntica")</f>
        <v>1ª Vs 3ª same measure</v>
      </c>
      <c r="E7" s="98" t="str">
        <f>IF(Info!D34=1,"2ª Vs 3ª same measure","2ª Vs 3ª medición idéntica")</f>
        <v>2ª Vs 3ª same measure</v>
      </c>
      <c r="F7" s="98" t="str">
        <f>IF(Info!D34=1,"Nº 3rd measures measured","Nº 3ª medidas tomadas")</f>
        <v>Nº 3rd measures measured</v>
      </c>
      <c r="G7" s="98" t="str">
        <f>IF(Info!D34=1,"Nº 3rd measures requested","Nº 3ª medidas requeridas")</f>
        <v>Nº 3rd measures requested</v>
      </c>
      <c r="H7" s="98" t="str">
        <f>IF(Info!D34=1,"He/she has not done 1st measure","No se ha realizado la 1ª medición")</f>
        <v>He/she has not done 1st measure</v>
      </c>
      <c r="I7" s="98" t="str">
        <f>IF(Info!D34=1,"He/she has not done 2nd measure","No se ha realizado la 2ª medición")</f>
        <v>He/she has not done 2nd measure</v>
      </c>
    </row>
    <row r="8" spans="2:9">
      <c r="B8" s="99">
        <v>1</v>
      </c>
      <c r="C8" s="99">
        <f>'3'!D64</f>
        <v>6</v>
      </c>
      <c r="D8" s="99">
        <f>'3'!E64</f>
        <v>6</v>
      </c>
      <c r="E8" s="99">
        <f>'3'!F64</f>
        <v>21</v>
      </c>
      <c r="F8" s="99">
        <f>'3'!G64</f>
        <v>0</v>
      </c>
      <c r="G8" s="99" t="e">
        <f>'3'!H64</f>
        <v>#DIV/0!</v>
      </c>
      <c r="H8" s="99">
        <f>'3'!I64</f>
        <v>6</v>
      </c>
      <c r="I8" s="99">
        <f>'3'!J64</f>
        <v>21</v>
      </c>
    </row>
    <row r="9" spans="2:9">
      <c r="B9" s="99">
        <v>2</v>
      </c>
      <c r="C9" s="99">
        <f>'1'!D64</f>
        <v>2</v>
      </c>
      <c r="D9" s="99">
        <f>'1'!E64</f>
        <v>2</v>
      </c>
      <c r="E9" s="99">
        <f>'1'!F64</f>
        <v>21</v>
      </c>
      <c r="F9" s="99">
        <f>'1'!G64</f>
        <v>0</v>
      </c>
      <c r="G9" s="99" t="e">
        <f>'1'!H64</f>
        <v>#DIV/0!</v>
      </c>
      <c r="H9" s="99">
        <f>'1'!I64</f>
        <v>2</v>
      </c>
      <c r="I9" s="99">
        <f>'1'!J64</f>
        <v>21</v>
      </c>
    </row>
    <row r="10" spans="2:9">
      <c r="B10" s="99">
        <v>3</v>
      </c>
      <c r="C10" s="99">
        <f>'4'!D64</f>
        <v>21</v>
      </c>
      <c r="D10" s="99">
        <f>'4'!E64</f>
        <v>21</v>
      </c>
      <c r="E10" s="99">
        <f>'4'!F64</f>
        <v>21</v>
      </c>
      <c r="F10" s="99">
        <f>'4'!G64</f>
        <v>0</v>
      </c>
      <c r="G10" s="99" t="e">
        <f>'4'!H64</f>
        <v>#DIV/0!</v>
      </c>
      <c r="H10" s="99">
        <f>'4'!I64</f>
        <v>21</v>
      </c>
      <c r="I10" s="99">
        <f>'4'!J64</f>
        <v>21</v>
      </c>
    </row>
    <row r="11" spans="2:9">
      <c r="B11" s="99">
        <v>4</v>
      </c>
      <c r="C11" s="99">
        <f>'5'!D64</f>
        <v>21</v>
      </c>
      <c r="D11" s="99">
        <f>'5'!E64</f>
        <v>21</v>
      </c>
      <c r="E11" s="99">
        <f>'5'!F64</f>
        <v>21</v>
      </c>
      <c r="F11" s="99">
        <f>'5'!G64</f>
        <v>0</v>
      </c>
      <c r="G11" s="99" t="e">
        <f>'5'!H64</f>
        <v>#DIV/0!</v>
      </c>
      <c r="H11" s="99">
        <f>'5'!I64</f>
        <v>21</v>
      </c>
      <c r="I11" s="99">
        <f>'5'!J64</f>
        <v>21</v>
      </c>
    </row>
    <row r="12" spans="2:9">
      <c r="B12" s="99">
        <v>5</v>
      </c>
      <c r="C12" s="99">
        <f>'6'!D64</f>
        <v>21</v>
      </c>
      <c r="D12" s="99">
        <f>'6'!E64</f>
        <v>21</v>
      </c>
      <c r="E12" s="99">
        <f>'6'!F64</f>
        <v>21</v>
      </c>
      <c r="F12" s="99">
        <f>'6'!G64</f>
        <v>0</v>
      </c>
      <c r="G12" s="99" t="e">
        <f>'6'!H64</f>
        <v>#DIV/0!</v>
      </c>
      <c r="H12" s="99">
        <f>'6'!I64</f>
        <v>21</v>
      </c>
      <c r="I12" s="99">
        <f>'6'!J64</f>
        <v>21</v>
      </c>
    </row>
    <row r="13" spans="2:9">
      <c r="B13" s="99">
        <v>6</v>
      </c>
      <c r="C13" s="99">
        <f>'7'!D64</f>
        <v>21</v>
      </c>
      <c r="D13" s="99">
        <f>'7'!E64</f>
        <v>21</v>
      </c>
      <c r="E13" s="99">
        <f>'7'!F64</f>
        <v>21</v>
      </c>
      <c r="F13" s="99">
        <f>'7'!G64</f>
        <v>0</v>
      </c>
      <c r="G13" s="99" t="e">
        <f>'7'!H64</f>
        <v>#DIV/0!</v>
      </c>
      <c r="H13" s="99">
        <f>'7'!I64</f>
        <v>21</v>
      </c>
      <c r="I13" s="99">
        <f>'7'!J64</f>
        <v>21</v>
      </c>
    </row>
    <row r="14" spans="2:9">
      <c r="B14" s="99">
        <v>7</v>
      </c>
      <c r="C14" s="99">
        <f>'7.'!D64</f>
        <v>17</v>
      </c>
      <c r="D14" s="99">
        <f>'7.'!E64</f>
        <v>0</v>
      </c>
      <c r="E14" s="99">
        <f>'7.'!F64</f>
        <v>3</v>
      </c>
      <c r="F14" s="99">
        <f>'7.'!G64</f>
        <v>3</v>
      </c>
      <c r="G14" s="99">
        <f>'7.'!H64</f>
        <v>1</v>
      </c>
      <c r="H14" s="99">
        <f>'7.'!I64</f>
        <v>0</v>
      </c>
      <c r="I14" s="99">
        <f>'7.'!J64</f>
        <v>0</v>
      </c>
    </row>
    <row r="15" spans="2:9">
      <c r="B15" s="99">
        <v>8</v>
      </c>
      <c r="C15" s="99">
        <f>'8.'!D64</f>
        <v>18</v>
      </c>
      <c r="D15" s="99">
        <f>'8.'!E64</f>
        <v>0</v>
      </c>
      <c r="E15" s="99">
        <f>'8.'!F64</f>
        <v>2</v>
      </c>
      <c r="F15" s="99">
        <f>'8.'!G64</f>
        <v>2</v>
      </c>
      <c r="G15" s="99">
        <f>'8.'!H64</f>
        <v>0</v>
      </c>
      <c r="H15" s="99">
        <f>'8.'!I64</f>
        <v>0</v>
      </c>
      <c r="I15" s="99">
        <f>'8.'!J64</f>
        <v>0</v>
      </c>
    </row>
    <row r="16" spans="2:9">
      <c r="B16" s="99">
        <v>9</v>
      </c>
      <c r="C16" s="99">
        <f>'9.'!D64</f>
        <v>0</v>
      </c>
      <c r="D16" s="99">
        <f>'9.'!E64</f>
        <v>21</v>
      </c>
      <c r="E16" s="99">
        <f>'9.'!F64</f>
        <v>0</v>
      </c>
      <c r="F16" s="99">
        <f>'9.'!G64</f>
        <v>0</v>
      </c>
      <c r="G16" s="99">
        <f>'9.'!H64</f>
        <v>21</v>
      </c>
      <c r="H16" s="99">
        <f>'9.'!I64</f>
        <v>21</v>
      </c>
      <c r="I16" s="99">
        <f>'9.'!J64</f>
        <v>0</v>
      </c>
    </row>
    <row r="17" spans="2:9">
      <c r="B17" s="99">
        <v>10</v>
      </c>
      <c r="C17" s="99">
        <f>'10.'!D64</f>
        <v>16</v>
      </c>
      <c r="D17" s="99">
        <f>'10.'!E64</f>
        <v>0</v>
      </c>
      <c r="E17" s="99">
        <f>'10.'!F64</f>
        <v>2</v>
      </c>
      <c r="F17" s="99">
        <f>'10.'!G64</f>
        <v>2</v>
      </c>
      <c r="G17" s="99">
        <f>'10.'!H64</f>
        <v>0</v>
      </c>
      <c r="H17" s="99">
        <f>'10.'!I64</f>
        <v>0</v>
      </c>
      <c r="I17" s="99">
        <f>'10.'!J64</f>
        <v>0</v>
      </c>
    </row>
    <row r="18" spans="2:9">
      <c r="B18" s="99">
        <v>11</v>
      </c>
      <c r="C18" s="99">
        <f>'11.'!D64</f>
        <v>18</v>
      </c>
      <c r="D18" s="99">
        <f>'11.'!E64</f>
        <v>0</v>
      </c>
      <c r="E18" s="99">
        <f>'11.'!F64</f>
        <v>1</v>
      </c>
      <c r="F18" s="99">
        <f>'11.'!G64</f>
        <v>2</v>
      </c>
      <c r="G18" s="99">
        <f>'11.'!H64</f>
        <v>0</v>
      </c>
      <c r="H18" s="99">
        <f>'11.'!I64</f>
        <v>0</v>
      </c>
      <c r="I18" s="99">
        <f>'11.'!J64</f>
        <v>0</v>
      </c>
    </row>
    <row r="19" spans="2:9">
      <c r="B19" s="99">
        <v>12</v>
      </c>
      <c r="C19" s="99">
        <f>'12.'!D64</f>
        <v>19</v>
      </c>
      <c r="D19" s="99">
        <f>'12.'!E64</f>
        <v>0</v>
      </c>
      <c r="E19" s="99">
        <f>'12.'!F64</f>
        <v>2</v>
      </c>
      <c r="F19" s="99">
        <f>'12.'!G64</f>
        <v>2</v>
      </c>
      <c r="G19" s="99">
        <f>'12.'!H64</f>
        <v>1</v>
      </c>
      <c r="H19" s="99">
        <f>'12.'!I64</f>
        <v>0</v>
      </c>
      <c r="I19" s="99">
        <f>'12.'!J64</f>
        <v>0</v>
      </c>
    </row>
    <row r="20" spans="2:9">
      <c r="B20" s="99">
        <v>13</v>
      </c>
      <c r="C20" s="99">
        <f>'13.'!D64</f>
        <v>19</v>
      </c>
      <c r="D20" s="99">
        <f>'13.'!E64</f>
        <v>0</v>
      </c>
      <c r="E20" s="99">
        <f>'13.'!F64</f>
        <v>0</v>
      </c>
      <c r="F20" s="99">
        <f>'13.'!G64</f>
        <v>1</v>
      </c>
      <c r="G20" s="99">
        <f>'13.'!H64</f>
        <v>0</v>
      </c>
      <c r="H20" s="99">
        <f>'13.'!I64</f>
        <v>0</v>
      </c>
      <c r="I20" s="99">
        <f>'13.'!J64</f>
        <v>0</v>
      </c>
    </row>
    <row r="21" spans="2:9">
      <c r="B21" s="99">
        <v>14</v>
      </c>
      <c r="C21" s="99">
        <f>'14.'!D64</f>
        <v>19</v>
      </c>
      <c r="D21" s="99">
        <f>'14.'!E64</f>
        <v>0</v>
      </c>
      <c r="E21" s="99">
        <f>'14.'!F64</f>
        <v>2</v>
      </c>
      <c r="F21" s="99">
        <f>'14.'!G64</f>
        <v>2</v>
      </c>
      <c r="G21" s="99">
        <f>'14.'!H64</f>
        <v>0</v>
      </c>
      <c r="H21" s="99">
        <f>'14.'!I64</f>
        <v>0</v>
      </c>
      <c r="I21" s="99">
        <f>'14.'!J64</f>
        <v>0</v>
      </c>
    </row>
    <row r="22" spans="2:9">
      <c r="B22" s="99">
        <v>15</v>
      </c>
      <c r="C22" s="99">
        <f>'15.'!D64</f>
        <v>5</v>
      </c>
      <c r="D22" s="99">
        <f>'15.'!E64</f>
        <v>5</v>
      </c>
      <c r="E22" s="99">
        <f>'15.'!F64</f>
        <v>21</v>
      </c>
      <c r="F22" s="99">
        <f>'15.'!G64</f>
        <v>0</v>
      </c>
      <c r="G22" s="99" t="e">
        <f>'15.'!H64</f>
        <v>#DIV/0!</v>
      </c>
      <c r="H22" s="99">
        <f>'15.'!I64</f>
        <v>5</v>
      </c>
      <c r="I22" s="99">
        <f>'15.'!J64</f>
        <v>21</v>
      </c>
    </row>
    <row r="23" spans="2:9">
      <c r="B23" s="99">
        <v>16</v>
      </c>
      <c r="C23" s="99">
        <f>'16.'!D64</f>
        <v>0</v>
      </c>
      <c r="D23" s="99">
        <f>'16.'!E64</f>
        <v>0</v>
      </c>
      <c r="E23" s="99">
        <f>'16.'!F64</f>
        <v>21</v>
      </c>
      <c r="F23" s="99">
        <f>'16.'!G64</f>
        <v>0</v>
      </c>
      <c r="G23" s="99">
        <f>'16.'!H64</f>
        <v>21</v>
      </c>
      <c r="H23" s="99">
        <f>'16.'!I64</f>
        <v>0</v>
      </c>
      <c r="I23" s="99">
        <f>'16.'!J64</f>
        <v>21</v>
      </c>
    </row>
    <row r="24" spans="2:9">
      <c r="B24" s="99">
        <v>17</v>
      </c>
      <c r="C24" s="99">
        <f>'17.'!D64</f>
        <v>0</v>
      </c>
      <c r="D24" s="99">
        <f>'17.'!E64</f>
        <v>0</v>
      </c>
      <c r="E24" s="99">
        <f>'17.'!F64</f>
        <v>21</v>
      </c>
      <c r="F24" s="99">
        <f>'17.'!G64</f>
        <v>0</v>
      </c>
      <c r="G24" s="99">
        <f>'17.'!H64</f>
        <v>21</v>
      </c>
      <c r="H24" s="99">
        <f>'17.'!I64</f>
        <v>0</v>
      </c>
      <c r="I24" s="99">
        <f>'17.'!J64</f>
        <v>21</v>
      </c>
    </row>
    <row r="25" spans="2:9">
      <c r="B25" s="99">
        <v>18</v>
      </c>
      <c r="C25" s="99">
        <f>'18.'!D64</f>
        <v>8</v>
      </c>
      <c r="D25" s="99">
        <f>'18.'!E64</f>
        <v>7</v>
      </c>
      <c r="E25" s="99">
        <f>'18.'!F64</f>
        <v>7</v>
      </c>
      <c r="F25" s="99">
        <f>'18.'!G64</f>
        <v>0</v>
      </c>
      <c r="G25" s="99" t="e">
        <f>'18.'!H64</f>
        <v>#DIV/0!</v>
      </c>
      <c r="H25" s="99">
        <f>'18.'!I64</f>
        <v>7</v>
      </c>
      <c r="I25" s="99">
        <f>'18.'!J64</f>
        <v>7</v>
      </c>
    </row>
    <row r="26" spans="2:9">
      <c r="B26" s="99">
        <v>19</v>
      </c>
      <c r="C26" s="99">
        <f>'19.'!D64</f>
        <v>3</v>
      </c>
      <c r="D26" s="99">
        <f>'19.'!E64</f>
        <v>3</v>
      </c>
      <c r="E26" s="99">
        <f>'19.'!F64</f>
        <v>20</v>
      </c>
      <c r="F26" s="99">
        <f>'19.'!G64</f>
        <v>1</v>
      </c>
      <c r="G26" s="99" t="e">
        <f>'19.'!H64</f>
        <v>#DIV/0!</v>
      </c>
      <c r="H26" s="99">
        <f>'19.'!I64</f>
        <v>3</v>
      </c>
      <c r="I26" s="99">
        <f>'19.'!J64</f>
        <v>21</v>
      </c>
    </row>
    <row r="27" spans="2:9">
      <c r="B27" s="99">
        <v>20</v>
      </c>
      <c r="C27" s="99">
        <f>'20.'!D64</f>
        <v>2</v>
      </c>
      <c r="D27" s="99">
        <f>'20.'!E64</f>
        <v>0</v>
      </c>
      <c r="E27" s="99">
        <f>'20.'!F64</f>
        <v>17</v>
      </c>
      <c r="F27" s="99">
        <f>'20.'!G64</f>
        <v>0</v>
      </c>
      <c r="G27" s="99">
        <f>'20.'!H64</f>
        <v>18</v>
      </c>
      <c r="H27" s="99">
        <f>'20.'!I64</f>
        <v>0</v>
      </c>
      <c r="I27" s="99">
        <f>'20.'!J64</f>
        <v>17</v>
      </c>
    </row>
    <row r="28" spans="2:9">
      <c r="B28" s="98" t="s">
        <v>35</v>
      </c>
      <c r="C28" s="98">
        <f t="shared" ref="C28:I28" si="0">SUM(C8:C27)</f>
        <v>236</v>
      </c>
      <c r="D28" s="98">
        <f t="shared" si="0"/>
        <v>128</v>
      </c>
      <c r="E28" s="98">
        <f t="shared" si="0"/>
        <v>245</v>
      </c>
      <c r="F28" s="98">
        <f t="shared" si="0"/>
        <v>15</v>
      </c>
      <c r="G28" s="98" t="e">
        <f t="shared" si="0"/>
        <v>#DIV/0!</v>
      </c>
      <c r="H28" s="98">
        <f t="shared" si="0"/>
        <v>128</v>
      </c>
      <c r="I28" s="98">
        <f t="shared" si="0"/>
        <v>234</v>
      </c>
    </row>
    <row r="29" spans="2:9">
      <c r="B29" s="98" t="s">
        <v>36</v>
      </c>
      <c r="C29" s="98">
        <f t="shared" ref="C29:I29" si="1">(C28/(20*$I$4))*100</f>
        <v>56.19047619047619</v>
      </c>
      <c r="D29" s="98">
        <f t="shared" si="1"/>
        <v>30.476190476190478</v>
      </c>
      <c r="E29" s="98">
        <f t="shared" si="1"/>
        <v>58.333333333333336</v>
      </c>
      <c r="F29" s="98">
        <f t="shared" si="1"/>
        <v>3.5714285714285712</v>
      </c>
      <c r="G29" s="98" t="e">
        <f t="shared" si="1"/>
        <v>#DIV/0!</v>
      </c>
      <c r="H29" s="98">
        <f t="shared" si="1"/>
        <v>30.476190476190478</v>
      </c>
      <c r="I29" s="98">
        <f t="shared" si="1"/>
        <v>55.714285714285715</v>
      </c>
    </row>
  </sheetData>
  <sheetProtection algorithmName="SHA-512" hashValue="r3DthG4k+sm5OvmRVesnsJTi963oPzNxqs6VOlzuXjG27hdB77rwoFI46QUx9N7X4IjJpo1boniEnceFJIvg+g==" saltValue="CT/UEvrTmwA2NKl5cW3+Ww==" spinCount="100000" sheet="1" scenarios="1" selectLockedCells="1" selectUnlockedCells="1"/>
  <mergeCells count="1">
    <mergeCell ref="C4:F4"/>
  </mergeCells>
  <phoneticPr fontId="5" type="noConversion"/>
  <pageMargins left="0" right="0" top="1" bottom="1" header="0.3" footer="0.3"/>
  <pageSetup paperSize="9"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21</vt:i4>
      </vt:variant>
    </vt:vector>
  </HeadingPairs>
  <TitlesOfParts>
    <vt:vector size="51" baseType="lpstr">
      <vt:lpstr>Info</vt:lpstr>
      <vt:lpstr>TEM info</vt:lpstr>
      <vt:lpstr>1</vt:lpstr>
      <vt:lpstr>2</vt:lpstr>
      <vt:lpstr>3</vt:lpstr>
      <vt:lpstr>4</vt:lpstr>
      <vt:lpstr>5</vt:lpstr>
      <vt:lpstr>6</vt:lpstr>
      <vt:lpstr>7</vt:lpstr>
      <vt:lpstr>7.</vt:lpstr>
      <vt:lpstr>8.</vt:lpstr>
      <vt:lpstr>9.</vt:lpstr>
      <vt:lpstr>10.</vt:lpstr>
      <vt:lpstr>11.</vt:lpstr>
      <vt:lpstr>12.</vt:lpstr>
      <vt:lpstr>13.</vt:lpstr>
      <vt:lpstr>14.</vt:lpstr>
      <vt:lpstr>15.</vt:lpstr>
      <vt:lpstr>16.</vt:lpstr>
      <vt:lpstr>17.</vt:lpstr>
      <vt:lpstr>18.</vt:lpstr>
      <vt:lpstr>19.</vt:lpstr>
      <vt:lpstr>20.</vt:lpstr>
      <vt:lpstr>Measures-Medidas</vt:lpstr>
      <vt:lpstr>sum(meas)-suma(med)</vt:lpstr>
      <vt:lpstr>sqr(sum)-cuadrado(sum)</vt:lpstr>
      <vt:lpstr>sqr(meas)-cuadrado(med)</vt:lpstr>
      <vt:lpstr>TEM-ICC-ETM-ICC</vt:lpstr>
      <vt:lpstr>Graph-Gráficos</vt:lpstr>
      <vt:lpstr>Analysis-Analisis</vt:lpstr>
      <vt:lpstr>'1'!Área_de_impresión</vt:lpstr>
      <vt:lpstr>'10.'!Área_de_impresión</vt:lpstr>
      <vt:lpstr>'11.'!Área_de_impresión</vt:lpstr>
      <vt:lpstr>'12.'!Área_de_impresión</vt:lpstr>
      <vt:lpstr>'13.'!Área_de_impresión</vt:lpstr>
      <vt:lpstr>'14.'!Área_de_impresión</vt:lpstr>
      <vt:lpstr>'15.'!Área_de_impresión</vt:lpstr>
      <vt:lpstr>'16.'!Área_de_impresión</vt:lpstr>
      <vt:lpstr>'17.'!Área_de_impresión</vt:lpstr>
      <vt:lpstr>'18.'!Área_de_impresión</vt:lpstr>
      <vt:lpstr>'19.'!Área_de_impresión</vt:lpstr>
      <vt:lpstr>'2'!Área_de_impresión</vt:lpstr>
      <vt:lpstr>'20.'!Área_de_impresión</vt:lpstr>
      <vt:lpstr>'3'!Área_de_impresión</vt:lpstr>
      <vt:lpstr>'4'!Área_de_impresión</vt:lpstr>
      <vt:lpstr>'5'!Área_de_impresión</vt:lpstr>
      <vt:lpstr>'6'!Área_de_impresión</vt:lpstr>
      <vt:lpstr>'7'!Área_de_impresión</vt:lpstr>
      <vt:lpstr>'7.'!Área_de_impresión</vt:lpstr>
      <vt:lpstr>'8.'!Área_de_impresión</vt:lpstr>
      <vt:lpstr>'9.'!Área_de_impresión</vt:lpstr>
    </vt:vector>
  </TitlesOfParts>
  <Company>UGF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MIRP</dc:creator>
  <cp:lastModifiedBy>USUARIO</cp:lastModifiedBy>
  <cp:lastPrinted>2019-01-09T15:10:38Z</cp:lastPrinted>
  <dcterms:created xsi:type="dcterms:W3CDTF">2000-05-25T11:05:24Z</dcterms:created>
  <dcterms:modified xsi:type="dcterms:W3CDTF">2026-06-17T16:10:10Z</dcterms:modified>
</cp:coreProperties>
</file>